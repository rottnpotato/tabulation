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9852b32ff04510e7/BISU Balilihan/Acquaintance 2023/Acquaintance 2024/"/>
    </mc:Choice>
  </mc:AlternateContent>
  <xr:revisionPtr revIDLastSave="0" documentId="8_{593AC9E1-13F2-4458-823E-A72A00B91723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Dashboard" sheetId="5" r:id="rId1"/>
    <sheet name="Semi-Final" sheetId="4" r:id="rId2"/>
    <sheet name="Final" sheetId="7" r:id="rId3"/>
    <sheet name="Semi-Final Results" sheetId="6" r:id="rId4"/>
    <sheet name="Final Results" sheetId="9" r:id="rId5"/>
  </sheets>
  <externalReferences>
    <externalReference r:id="rId6"/>
    <externalReference r:id="rId7"/>
    <externalReference r:id="rId8"/>
  </externalReferences>
  <definedNames>
    <definedName name="_xlnm.Print_Area" localSheetId="3">'Semi-Final Results'!$E$35</definedName>
    <definedName name="_xlnm.Print_Titles" localSheetId="2">Final!$1:$8</definedName>
    <definedName name="_xlnm.Print_Titles" localSheetId="1">'Semi-Final'!$1:$8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R20" i="7" l="1"/>
  <c r="R19" i="7"/>
  <c r="R18" i="7"/>
  <c r="P18" i="7"/>
  <c r="G20" i="7"/>
  <c r="G19" i="7"/>
  <c r="G18" i="7"/>
  <c r="E20" i="7" l="1"/>
  <c r="E19" i="7"/>
  <c r="E18" i="7"/>
  <c r="P19" i="7" l="1"/>
  <c r="A2" i="6"/>
  <c r="A3" i="6"/>
  <c r="A4" i="6"/>
  <c r="R95" i="4"/>
  <c r="P95" i="4"/>
  <c r="N95" i="4"/>
  <c r="G95" i="4"/>
  <c r="E95" i="4"/>
  <c r="C95" i="4"/>
  <c r="R94" i="4"/>
  <c r="P94" i="4"/>
  <c r="N94" i="4"/>
  <c r="G94" i="4"/>
  <c r="E94" i="4"/>
  <c r="C94" i="4"/>
  <c r="I94" i="4" s="1"/>
  <c r="R93" i="4"/>
  <c r="P93" i="4"/>
  <c r="N93" i="4"/>
  <c r="G93" i="4"/>
  <c r="E93" i="4"/>
  <c r="C93" i="4"/>
  <c r="P46" i="4"/>
  <c r="P45" i="4"/>
  <c r="P44" i="4"/>
  <c r="P43" i="4"/>
  <c r="P42" i="4"/>
  <c r="P41" i="4"/>
  <c r="E46" i="4"/>
  <c r="E45" i="4"/>
  <c r="E44" i="4"/>
  <c r="I95" i="4" l="1"/>
  <c r="T95" i="4"/>
  <c r="Q93" i="4"/>
  <c r="P20" i="7"/>
  <c r="T93" i="4"/>
  <c r="T94" i="4"/>
  <c r="Q45" i="4"/>
  <c r="I93" i="4"/>
  <c r="Q95" i="4"/>
  <c r="Q94" i="4"/>
  <c r="Q44" i="4"/>
  <c r="Q43" i="4"/>
  <c r="Q42" i="4"/>
  <c r="Q46" i="4"/>
  <c r="Q41" i="4"/>
  <c r="Q18" i="7" l="1"/>
  <c r="A4" i="9"/>
  <c r="A3" i="9"/>
  <c r="A2" i="9"/>
  <c r="C31" i="7"/>
  <c r="D31" i="7" s="1"/>
  <c r="Q32" i="7"/>
  <c r="N32" i="7"/>
  <c r="O32" i="7" s="1"/>
  <c r="F32" i="7"/>
  <c r="R32" i="7" s="1"/>
  <c r="G32" i="7"/>
  <c r="C32" i="7"/>
  <c r="I32" i="7" s="1"/>
  <c r="N31" i="7"/>
  <c r="O31" i="7" s="1"/>
  <c r="N84" i="4"/>
  <c r="O84" i="4" s="1"/>
  <c r="C84" i="4"/>
  <c r="D84" i="4" s="1"/>
  <c r="C86" i="4"/>
  <c r="N86" i="4"/>
  <c r="C85" i="4"/>
  <c r="N85" i="4"/>
  <c r="O85" i="4" s="1"/>
  <c r="R84" i="4"/>
  <c r="G85" i="4"/>
  <c r="R85" i="4"/>
  <c r="G84" i="4"/>
  <c r="G86" i="4"/>
  <c r="H86" i="4" s="1"/>
  <c r="R86" i="4"/>
  <c r="P84" i="4"/>
  <c r="E86" i="4"/>
  <c r="P86" i="4"/>
  <c r="E84" i="4"/>
  <c r="E85" i="4"/>
  <c r="P85" i="4"/>
  <c r="U32" i="7" l="1"/>
  <c r="T32" i="7"/>
  <c r="D32" i="7"/>
  <c r="J32" i="7" s="1"/>
  <c r="H85" i="4"/>
  <c r="T85" i="4"/>
  <c r="S18" i="7"/>
  <c r="Q19" i="7"/>
  <c r="Q20" i="7"/>
  <c r="I86" i="4"/>
  <c r="F18" i="7"/>
  <c r="Q86" i="4"/>
  <c r="D86" i="4"/>
  <c r="O86" i="4"/>
  <c r="D85" i="4"/>
  <c r="S19" i="7"/>
  <c r="S20" i="7"/>
  <c r="Q84" i="4"/>
  <c r="Q85" i="4"/>
  <c r="S84" i="4"/>
  <c r="T84" i="4"/>
  <c r="I85" i="4"/>
  <c r="F85" i="4"/>
  <c r="F20" i="7"/>
  <c r="H19" i="7"/>
  <c r="H20" i="7"/>
  <c r="I84" i="4"/>
  <c r="F84" i="4"/>
  <c r="F19" i="7"/>
  <c r="H18" i="7"/>
  <c r="F86" i="4"/>
  <c r="S85" i="4"/>
  <c r="S86" i="4"/>
  <c r="T86" i="4"/>
  <c r="H84" i="4"/>
  <c r="U86" i="4" l="1"/>
  <c r="J84" i="4"/>
  <c r="K84" i="4" s="1"/>
  <c r="J86" i="4"/>
  <c r="K86" i="4" s="1"/>
  <c r="U84" i="4"/>
  <c r="V84" i="4" s="1"/>
  <c r="U85" i="4"/>
  <c r="V85" i="4" s="1"/>
  <c r="J85" i="4"/>
  <c r="K85" i="4" s="1"/>
  <c r="V86" i="4" l="1"/>
  <c r="N33" i="7" l="1"/>
  <c r="Q31" i="7"/>
  <c r="T31" i="7" s="1"/>
  <c r="O33" i="7" l="1"/>
  <c r="V32" i="7" l="1"/>
  <c r="Q33" i="7"/>
  <c r="T33" i="7" s="1"/>
  <c r="C33" i="7" l="1"/>
  <c r="F31" i="7"/>
  <c r="D33" i="7" l="1"/>
  <c r="R31" i="7"/>
  <c r="U31" i="7" s="1"/>
  <c r="V31" i="7" s="1"/>
  <c r="G31" i="7"/>
  <c r="J31" i="7" s="1"/>
  <c r="K31" i="7" s="1"/>
  <c r="I31" i="7"/>
  <c r="K32" i="7"/>
  <c r="F33" i="7"/>
  <c r="R33" i="7" l="1"/>
  <c r="U33" i="7" s="1"/>
  <c r="V33" i="7" s="1"/>
  <c r="G33" i="7"/>
  <c r="J33" i="7" s="1"/>
  <c r="K33" i="7" s="1"/>
  <c r="I33" i="7"/>
  <c r="G42" i="4" l="1"/>
  <c r="G43" i="4"/>
  <c r="G44" i="4"/>
  <c r="G45" i="4"/>
  <c r="G46" i="4"/>
  <c r="G41" i="4"/>
  <c r="G29" i="4"/>
  <c r="G30" i="4"/>
  <c r="G31" i="4"/>
  <c r="G32" i="4"/>
  <c r="G33" i="4"/>
  <c r="G28" i="4"/>
  <c r="R17" i="4"/>
  <c r="R16" i="4"/>
  <c r="R15" i="4"/>
  <c r="G20" i="4"/>
  <c r="G16" i="4"/>
  <c r="G17" i="4"/>
  <c r="G18" i="4"/>
  <c r="G19" i="4"/>
  <c r="G15" i="4"/>
  <c r="R46" i="4"/>
  <c r="R45" i="4"/>
  <c r="R44" i="4"/>
  <c r="R43" i="4"/>
  <c r="R42" i="4"/>
  <c r="R41" i="4"/>
  <c r="R33" i="4"/>
  <c r="R32" i="4"/>
  <c r="R31" i="4"/>
  <c r="R30" i="4"/>
  <c r="R29" i="4"/>
  <c r="R18" i="4"/>
  <c r="R19" i="4"/>
  <c r="R20" i="4"/>
  <c r="S45" i="4" l="1"/>
  <c r="S43" i="4"/>
  <c r="S44" i="4"/>
  <c r="S41" i="4"/>
  <c r="S95" i="4"/>
  <c r="S93" i="4"/>
  <c r="S94" i="4"/>
  <c r="S46" i="4"/>
  <c r="S42" i="4"/>
  <c r="H42" i="4"/>
  <c r="H44" i="4"/>
  <c r="H41" i="4"/>
  <c r="H94" i="4"/>
  <c r="H43" i="4"/>
  <c r="H45" i="4"/>
  <c r="H46" i="4"/>
  <c r="H95" i="4"/>
  <c r="H93" i="4"/>
  <c r="H29" i="4"/>
  <c r="H30" i="4"/>
  <c r="H28" i="4"/>
  <c r="H32" i="4"/>
  <c r="H33" i="4"/>
  <c r="H31" i="4"/>
  <c r="R28" i="4"/>
  <c r="S19" i="4"/>
  <c r="S15" i="4"/>
  <c r="S16" i="4"/>
  <c r="S17" i="4"/>
  <c r="S20" i="4"/>
  <c r="S18" i="4"/>
  <c r="H17" i="4"/>
  <c r="H18" i="4"/>
  <c r="H19" i="4"/>
  <c r="H20" i="4"/>
  <c r="H16" i="4"/>
  <c r="H15" i="4"/>
  <c r="S32" i="4" l="1"/>
  <c r="S31" i="4"/>
  <c r="S33" i="4"/>
  <c r="S30" i="4"/>
  <c r="S28" i="4"/>
  <c r="S29" i="4"/>
  <c r="E42" i="4" l="1"/>
  <c r="E43" i="4"/>
  <c r="E41" i="4"/>
  <c r="E29" i="4"/>
  <c r="E30" i="4"/>
  <c r="E31" i="4"/>
  <c r="E32" i="4"/>
  <c r="E33" i="4"/>
  <c r="E28" i="4"/>
  <c r="P17" i="4"/>
  <c r="P16" i="4"/>
  <c r="P15" i="4"/>
  <c r="E20" i="4"/>
  <c r="E16" i="4"/>
  <c r="E17" i="4"/>
  <c r="E18" i="4"/>
  <c r="E19" i="4"/>
  <c r="E15" i="4"/>
  <c r="P33" i="4"/>
  <c r="P32" i="4"/>
  <c r="P31" i="4"/>
  <c r="P30" i="4"/>
  <c r="P29" i="4"/>
  <c r="P28" i="4"/>
  <c r="P18" i="4"/>
  <c r="P19" i="4"/>
  <c r="P20" i="4"/>
  <c r="F42" i="4" l="1"/>
  <c r="F44" i="4"/>
  <c r="F95" i="4"/>
  <c r="F45" i="4"/>
  <c r="F93" i="4"/>
  <c r="F46" i="4"/>
  <c r="F94" i="4"/>
  <c r="F43" i="4"/>
  <c r="F41" i="4"/>
  <c r="Q33" i="4"/>
  <c r="Q29" i="4"/>
  <c r="Q28" i="4"/>
  <c r="Q30" i="4"/>
  <c r="Q31" i="4"/>
  <c r="Q32" i="4"/>
  <c r="F29" i="4"/>
  <c r="F28" i="4"/>
  <c r="F32" i="4"/>
  <c r="F33" i="4"/>
  <c r="F31" i="4"/>
  <c r="F30" i="4"/>
  <c r="F18" i="4"/>
  <c r="F19" i="4"/>
  <c r="F16" i="4"/>
  <c r="F20" i="4"/>
  <c r="F15" i="4"/>
  <c r="F17" i="4"/>
  <c r="Q19" i="4"/>
  <c r="Q16" i="4"/>
  <c r="Q15" i="4"/>
  <c r="Q20" i="4"/>
  <c r="Q18" i="4"/>
  <c r="Q17" i="4"/>
  <c r="N20" i="7" l="1"/>
  <c r="T20" i="7" s="1"/>
  <c r="C20" i="7"/>
  <c r="I20" i="7" s="1"/>
  <c r="N19" i="7"/>
  <c r="T19" i="7" s="1"/>
  <c r="C19" i="7"/>
  <c r="I19" i="7" s="1"/>
  <c r="N18" i="7"/>
  <c r="C18" i="7"/>
  <c r="C42" i="4"/>
  <c r="C43" i="4"/>
  <c r="I43" i="4" s="1"/>
  <c r="C44" i="4"/>
  <c r="I44" i="4" s="1"/>
  <c r="C45" i="4"/>
  <c r="I45" i="4" s="1"/>
  <c r="C46" i="4"/>
  <c r="I46" i="4" s="1"/>
  <c r="C41" i="4"/>
  <c r="C29" i="4"/>
  <c r="I29" i="4" s="1"/>
  <c r="F57" i="4" s="1"/>
  <c r="G57" i="4" s="1"/>
  <c r="C30" i="4"/>
  <c r="I30" i="4" s="1"/>
  <c r="F58" i="4" s="1"/>
  <c r="G58" i="4" s="1"/>
  <c r="C31" i="4"/>
  <c r="I31" i="4" s="1"/>
  <c r="F59" i="4" s="1"/>
  <c r="G59" i="4" s="1"/>
  <c r="C32" i="4"/>
  <c r="I32" i="4" s="1"/>
  <c r="F60" i="4" s="1"/>
  <c r="G60" i="4" s="1"/>
  <c r="C33" i="4"/>
  <c r="I33" i="4" s="1"/>
  <c r="F61" i="4" s="1"/>
  <c r="G61" i="4" s="1"/>
  <c r="C28" i="4"/>
  <c r="N17" i="4"/>
  <c r="T17" i="4" s="1"/>
  <c r="N58" i="4" s="1"/>
  <c r="O58" i="4" s="1"/>
  <c r="N16" i="4"/>
  <c r="T16" i="4" s="1"/>
  <c r="N57" i="4" s="1"/>
  <c r="O57" i="4" s="1"/>
  <c r="N15" i="4"/>
  <c r="T15" i="4" s="1"/>
  <c r="N56" i="4" s="1"/>
  <c r="O56" i="4" s="1"/>
  <c r="C20" i="4"/>
  <c r="I20" i="4" s="1"/>
  <c r="C61" i="4" s="1"/>
  <c r="D61" i="4" s="1"/>
  <c r="C16" i="4"/>
  <c r="I16" i="4" s="1"/>
  <c r="C57" i="4" s="1"/>
  <c r="D57" i="4" s="1"/>
  <c r="C17" i="4"/>
  <c r="I17" i="4" s="1"/>
  <c r="C58" i="4" s="1"/>
  <c r="D58" i="4" s="1"/>
  <c r="C18" i="4"/>
  <c r="C19" i="4"/>
  <c r="I19" i="4" s="1"/>
  <c r="C60" i="4" s="1"/>
  <c r="D60" i="4" s="1"/>
  <c r="C15" i="4"/>
  <c r="I15" i="4" s="1"/>
  <c r="C56" i="4" s="1"/>
  <c r="D56" i="4" s="1"/>
  <c r="N46" i="4"/>
  <c r="T46" i="4" s="1"/>
  <c r="N45" i="4"/>
  <c r="T45" i="4" s="1"/>
  <c r="N44" i="4"/>
  <c r="T44" i="4" s="1"/>
  <c r="N43" i="4"/>
  <c r="T43" i="4" s="1"/>
  <c r="N42" i="4"/>
  <c r="T42" i="4" s="1"/>
  <c r="N41" i="4"/>
  <c r="N33" i="4"/>
  <c r="T33" i="4" s="1"/>
  <c r="Q61" i="4" s="1"/>
  <c r="R61" i="4" s="1"/>
  <c r="N32" i="4"/>
  <c r="T32" i="4" s="1"/>
  <c r="Q60" i="4" s="1"/>
  <c r="R60" i="4" s="1"/>
  <c r="N31" i="4"/>
  <c r="T31" i="4" s="1"/>
  <c r="Q59" i="4" s="1"/>
  <c r="R59" i="4" s="1"/>
  <c r="N30" i="4"/>
  <c r="T30" i="4" s="1"/>
  <c r="Q58" i="4" s="1"/>
  <c r="R58" i="4" s="1"/>
  <c r="N29" i="4"/>
  <c r="T29" i="4" s="1"/>
  <c r="Q57" i="4" s="1"/>
  <c r="R57" i="4" s="1"/>
  <c r="N18" i="4"/>
  <c r="N19" i="4"/>
  <c r="T19" i="4" s="1"/>
  <c r="N60" i="4" s="1"/>
  <c r="O60" i="4" s="1"/>
  <c r="N20" i="4"/>
  <c r="T20" i="4" s="1"/>
  <c r="N61" i="4" s="1"/>
  <c r="O61" i="4" s="1"/>
  <c r="O18" i="7" l="1"/>
  <c r="U18" i="7" s="1"/>
  <c r="O19" i="7"/>
  <c r="U19" i="7" s="1"/>
  <c r="O20" i="7"/>
  <c r="U20" i="7" s="1"/>
  <c r="T18" i="7"/>
  <c r="I18" i="7"/>
  <c r="D20" i="7"/>
  <c r="J20" i="7" s="1"/>
  <c r="D18" i="7"/>
  <c r="J18" i="7" s="1"/>
  <c r="D19" i="7"/>
  <c r="J19" i="7" s="1"/>
  <c r="O93" i="4"/>
  <c r="U93" i="4" s="1"/>
  <c r="O41" i="4"/>
  <c r="U41" i="4" s="1"/>
  <c r="O46" i="4"/>
  <c r="U46" i="4" s="1"/>
  <c r="O45" i="4"/>
  <c r="U45" i="4" s="1"/>
  <c r="O95" i="4"/>
  <c r="U95" i="4" s="1"/>
  <c r="O94" i="4"/>
  <c r="U94" i="4" s="1"/>
  <c r="O44" i="4"/>
  <c r="U44" i="4" s="1"/>
  <c r="O43" i="4"/>
  <c r="U43" i="4" s="1"/>
  <c r="O42" i="4"/>
  <c r="U42" i="4" s="1"/>
  <c r="T41" i="4"/>
  <c r="I42" i="4"/>
  <c r="D42" i="4"/>
  <c r="J42" i="4" s="1"/>
  <c r="D43" i="4"/>
  <c r="J43" i="4" s="1"/>
  <c r="D45" i="4"/>
  <c r="J45" i="4" s="1"/>
  <c r="D41" i="4"/>
  <c r="J41" i="4" s="1"/>
  <c r="D44" i="4"/>
  <c r="J44" i="4" s="1"/>
  <c r="D46" i="4"/>
  <c r="J46" i="4" s="1"/>
  <c r="D94" i="4"/>
  <c r="J94" i="4" s="1"/>
  <c r="I41" i="4"/>
  <c r="D93" i="4"/>
  <c r="J93" i="4" s="1"/>
  <c r="D95" i="4"/>
  <c r="J95" i="4" s="1"/>
  <c r="T61" i="4"/>
  <c r="T60" i="4"/>
  <c r="T58" i="4"/>
  <c r="T57" i="4"/>
  <c r="N28" i="4"/>
  <c r="I61" i="4"/>
  <c r="I60" i="4"/>
  <c r="I58" i="4"/>
  <c r="I57" i="4"/>
  <c r="D31" i="4"/>
  <c r="J31" i="4" s="1"/>
  <c r="D30" i="4"/>
  <c r="J30" i="4" s="1"/>
  <c r="D32" i="4"/>
  <c r="J32" i="4" s="1"/>
  <c r="D29" i="4"/>
  <c r="J29" i="4" s="1"/>
  <c r="D28" i="4"/>
  <c r="J28" i="4" s="1"/>
  <c r="D33" i="4"/>
  <c r="J33" i="4" s="1"/>
  <c r="I28" i="4"/>
  <c r="F56" i="4" s="1"/>
  <c r="G56" i="4" s="1"/>
  <c r="D18" i="4"/>
  <c r="J18" i="4" s="1"/>
  <c r="D19" i="4"/>
  <c r="J19" i="4" s="1"/>
  <c r="D20" i="4"/>
  <c r="J20" i="4" s="1"/>
  <c r="D17" i="4"/>
  <c r="J17" i="4" s="1"/>
  <c r="D16" i="4"/>
  <c r="J16" i="4" s="1"/>
  <c r="D15" i="4"/>
  <c r="J15" i="4" s="1"/>
  <c r="I18" i="4"/>
  <c r="C59" i="4" s="1"/>
  <c r="D59" i="4" s="1"/>
  <c r="O17" i="4"/>
  <c r="U17" i="4" s="1"/>
  <c r="O19" i="4"/>
  <c r="U19" i="4" s="1"/>
  <c r="O18" i="4"/>
  <c r="U18" i="4" s="1"/>
  <c r="O15" i="4"/>
  <c r="U15" i="4" s="1"/>
  <c r="O16" i="4"/>
  <c r="U16" i="4" s="1"/>
  <c r="O20" i="4"/>
  <c r="U20" i="4" s="1"/>
  <c r="T18" i="4"/>
  <c r="N59" i="4" s="1"/>
  <c r="O59" i="4" s="1"/>
  <c r="V20" i="7" l="1"/>
  <c r="V19" i="7"/>
  <c r="V18" i="7"/>
  <c r="K19" i="7"/>
  <c r="K18" i="7"/>
  <c r="K20" i="7"/>
  <c r="V43" i="4"/>
  <c r="R73" i="4" s="1"/>
  <c r="S73" i="4" s="1"/>
  <c r="V42" i="4"/>
  <c r="R72" i="4" s="1"/>
  <c r="S72" i="4" s="1"/>
  <c r="V95" i="4"/>
  <c r="V45" i="4"/>
  <c r="R75" i="4" s="1"/>
  <c r="S75" i="4" s="1"/>
  <c r="V44" i="4"/>
  <c r="R74" i="4" s="1"/>
  <c r="S74" i="4" s="1"/>
  <c r="V46" i="4"/>
  <c r="R76" i="4" s="1"/>
  <c r="S76" i="4" s="1"/>
  <c r="V94" i="4"/>
  <c r="V41" i="4"/>
  <c r="V93" i="4"/>
  <c r="K95" i="4"/>
  <c r="K46" i="4"/>
  <c r="G76" i="4" s="1"/>
  <c r="H76" i="4" s="1"/>
  <c r="K93" i="4"/>
  <c r="K94" i="4"/>
  <c r="K44" i="4"/>
  <c r="G74" i="4" s="1"/>
  <c r="H74" i="4" s="1"/>
  <c r="K41" i="4"/>
  <c r="K45" i="4"/>
  <c r="G75" i="4" s="1"/>
  <c r="H75" i="4" s="1"/>
  <c r="K43" i="4"/>
  <c r="G73" i="4" s="1"/>
  <c r="H73" i="4" s="1"/>
  <c r="K42" i="4"/>
  <c r="G72" i="4" s="1"/>
  <c r="H72" i="4" s="1"/>
  <c r="O29" i="4"/>
  <c r="U29" i="4" s="1"/>
  <c r="O30" i="4"/>
  <c r="U30" i="4" s="1"/>
  <c r="O33" i="4"/>
  <c r="U33" i="4" s="1"/>
  <c r="O31" i="4"/>
  <c r="U31" i="4" s="1"/>
  <c r="O32" i="4"/>
  <c r="U32" i="4" s="1"/>
  <c r="O28" i="4"/>
  <c r="U28" i="4" s="1"/>
  <c r="T28" i="4"/>
  <c r="Q56" i="4" s="1"/>
  <c r="R56" i="4" s="1"/>
  <c r="K33" i="4"/>
  <c r="E76" i="4" s="1"/>
  <c r="F76" i="4" s="1"/>
  <c r="K29" i="4"/>
  <c r="E72" i="4" s="1"/>
  <c r="F72" i="4" s="1"/>
  <c r="K32" i="4"/>
  <c r="E75" i="4" s="1"/>
  <c r="F75" i="4" s="1"/>
  <c r="H58" i="4"/>
  <c r="H59" i="4"/>
  <c r="H57" i="4"/>
  <c r="H56" i="4"/>
  <c r="H61" i="4"/>
  <c r="H60" i="4"/>
  <c r="K30" i="4"/>
  <c r="E73" i="4" s="1"/>
  <c r="F73" i="4" s="1"/>
  <c r="K31" i="4"/>
  <c r="E74" i="4" s="1"/>
  <c r="F74" i="4" s="1"/>
  <c r="K28" i="4"/>
  <c r="I56" i="4"/>
  <c r="K15" i="4"/>
  <c r="C71" i="4" s="1"/>
  <c r="V20" i="4"/>
  <c r="N76" i="4" s="1"/>
  <c r="V16" i="4"/>
  <c r="N72" i="4" s="1"/>
  <c r="V15" i="4"/>
  <c r="N71" i="4" s="1"/>
  <c r="K16" i="4"/>
  <c r="C72" i="4" s="1"/>
  <c r="K17" i="4"/>
  <c r="C73" i="4" s="1"/>
  <c r="K20" i="4"/>
  <c r="C76" i="4" s="1"/>
  <c r="I59" i="4"/>
  <c r="E56" i="4"/>
  <c r="E61" i="4"/>
  <c r="E59" i="4"/>
  <c r="E60" i="4"/>
  <c r="E57" i="4"/>
  <c r="E58" i="4"/>
  <c r="K19" i="4"/>
  <c r="C75" i="4" s="1"/>
  <c r="C74" i="4"/>
  <c r="T59" i="4"/>
  <c r="P57" i="4"/>
  <c r="P60" i="4"/>
  <c r="P58" i="4"/>
  <c r="P61" i="4"/>
  <c r="P59" i="4"/>
  <c r="P56" i="4"/>
  <c r="V18" i="4"/>
  <c r="N74" i="4" s="1"/>
  <c r="V19" i="4"/>
  <c r="N75" i="4" s="1"/>
  <c r="V17" i="4"/>
  <c r="N73" i="4" s="1"/>
  <c r="F32" i="6" l="1"/>
  <c r="H33" i="6" s="1"/>
  <c r="R71" i="4"/>
  <c r="S71" i="4" s="1"/>
  <c r="B32" i="6"/>
  <c r="C33" i="6" s="1"/>
  <c r="G71" i="4"/>
  <c r="H71" i="4" s="1"/>
  <c r="J57" i="4"/>
  <c r="J58" i="4"/>
  <c r="V28" i="4"/>
  <c r="V31" i="4"/>
  <c r="P74" i="4" s="1"/>
  <c r="Q74" i="4" s="1"/>
  <c r="V32" i="4"/>
  <c r="P75" i="4" s="1"/>
  <c r="Q75" i="4" s="1"/>
  <c r="V33" i="4"/>
  <c r="P76" i="4" s="1"/>
  <c r="Q76" i="4" s="1"/>
  <c r="S60" i="4"/>
  <c r="U60" i="4" s="1"/>
  <c r="S56" i="4"/>
  <c r="U56" i="4" s="1"/>
  <c r="S58" i="4"/>
  <c r="U58" i="4" s="1"/>
  <c r="S57" i="4"/>
  <c r="U57" i="4" s="1"/>
  <c r="S61" i="4"/>
  <c r="U61" i="4" s="1"/>
  <c r="S59" i="4"/>
  <c r="U59" i="4" s="1"/>
  <c r="T56" i="4"/>
  <c r="V30" i="4"/>
  <c r="P73" i="4" s="1"/>
  <c r="Q73" i="4" s="1"/>
  <c r="V29" i="4"/>
  <c r="P72" i="4" s="1"/>
  <c r="Q72" i="4" s="1"/>
  <c r="J59" i="4"/>
  <c r="J61" i="4"/>
  <c r="J56" i="4"/>
  <c r="E71" i="4"/>
  <c r="F71" i="4" s="1"/>
  <c r="B23" i="6"/>
  <c r="C24" i="6" s="1"/>
  <c r="J60" i="4"/>
  <c r="O76" i="4"/>
  <c r="B13" i="6"/>
  <c r="C14" i="6" s="1"/>
  <c r="O72" i="4"/>
  <c r="I74" i="4"/>
  <c r="D74" i="4"/>
  <c r="J74" i="4" s="1"/>
  <c r="I76" i="4"/>
  <c r="D76" i="4"/>
  <c r="J76" i="4" s="1"/>
  <c r="I75" i="4"/>
  <c r="D75" i="4"/>
  <c r="J75" i="4" s="1"/>
  <c r="D73" i="4"/>
  <c r="J73" i="4" s="1"/>
  <c r="I73" i="4"/>
  <c r="D71" i="4"/>
  <c r="D72" i="4"/>
  <c r="J72" i="4" s="1"/>
  <c r="I72" i="4"/>
  <c r="O71" i="4"/>
  <c r="O73" i="4"/>
  <c r="O75" i="4"/>
  <c r="O74" i="4"/>
  <c r="F13" i="6"/>
  <c r="H14" i="6" s="1"/>
  <c r="F23" i="6" l="1"/>
  <c r="H24" i="6" s="1"/>
  <c r="P71" i="4"/>
  <c r="Q71" i="4" s="1"/>
  <c r="U71" i="4" s="1"/>
  <c r="V59" i="4"/>
  <c r="U76" i="4"/>
  <c r="T73" i="4"/>
  <c r="T71" i="4"/>
  <c r="U72" i="4"/>
  <c r="V61" i="4"/>
  <c r="V56" i="4"/>
  <c r="V57" i="4"/>
  <c r="V58" i="4"/>
  <c r="V60" i="4"/>
  <c r="T75" i="4"/>
  <c r="U75" i="4"/>
  <c r="T76" i="4"/>
  <c r="U74" i="4"/>
  <c r="T74" i="4"/>
  <c r="T72" i="4"/>
  <c r="U73" i="4"/>
  <c r="I71" i="4"/>
  <c r="J71" i="4"/>
  <c r="K76" i="4" s="1"/>
  <c r="K61" i="4"/>
  <c r="K60" i="4"/>
  <c r="K58" i="4"/>
  <c r="K59" i="4"/>
  <c r="K56" i="4"/>
  <c r="K57" i="4"/>
  <c r="K72" i="4"/>
  <c r="K74" i="4"/>
  <c r="K73" i="4"/>
  <c r="K75" i="4"/>
  <c r="K71" i="4" l="1"/>
  <c r="B41" i="6" s="1"/>
  <c r="B42" i="6" s="1"/>
  <c r="V71" i="4"/>
  <c r="V72" i="4"/>
  <c r="V76" i="4"/>
  <c r="V74" i="4"/>
  <c r="V75" i="4"/>
  <c r="V73" i="4"/>
  <c r="B18" i="7" l="1"/>
  <c r="B93" i="4"/>
  <c r="E41" i="6"/>
  <c r="E42" i="6" s="1"/>
  <c r="B20" i="7"/>
  <c r="B19" i="7"/>
  <c r="B84" i="4" a="1"/>
  <c r="B84" i="4" s="1"/>
  <c r="H41" i="6"/>
  <c r="H42" i="6" s="1"/>
  <c r="H45" i="6"/>
  <c r="I46" i="6" s="1"/>
  <c r="M18" i="7"/>
  <c r="M20" i="7"/>
  <c r="M19" i="7"/>
  <c r="E45" i="6"/>
  <c r="E46" i="6" s="1"/>
  <c r="B45" i="6"/>
  <c r="B46" i="6" s="1"/>
  <c r="C42" i="6"/>
  <c r="B13" i="9"/>
  <c r="C14" i="9" s="1"/>
  <c r="B32" i="9"/>
  <c r="C33" i="9" s="1"/>
  <c r="B23" i="9"/>
  <c r="C24" i="9" s="1"/>
  <c r="H46" i="6" l="1"/>
  <c r="F32" i="9"/>
  <c r="H33" i="9" s="1"/>
  <c r="F23" i="9"/>
  <c r="H24" i="9" s="1"/>
  <c r="F13" i="9"/>
  <c r="H14" i="9" s="1"/>
  <c r="F42" i="6"/>
  <c r="I42" i="6"/>
  <c r="F46" i="6"/>
  <c r="C4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<sst xmlns="http://schemas.openxmlformats.org/spreadsheetml/2006/main" count="315" uniqueCount="53">
  <si>
    <t>Mister &amp; Miss BISU TROPIKO 2024</t>
  </si>
  <si>
    <t>HIMAMAT 2024</t>
  </si>
  <si>
    <t>September 6, 2023 | BISU Balilihan Multi-Purpose Covered Court</t>
  </si>
  <si>
    <t>TABULATOR</t>
  </si>
  <si>
    <t>September 6, 2024 | BISU Balilihan Multi-Purpose Covered Court</t>
  </si>
  <si>
    <t>CONSOLIDATED RESULTS</t>
  </si>
  <si>
    <t>Production Number</t>
  </si>
  <si>
    <t>Male Candidates</t>
  </si>
  <si>
    <t>Female Candidates</t>
  </si>
  <si>
    <t>Contestant No.</t>
  </si>
  <si>
    <t>Judge 1</t>
  </si>
  <si>
    <t>Judge 2</t>
  </si>
  <si>
    <t>Judge 3</t>
  </si>
  <si>
    <t>TOTAL %</t>
  </si>
  <si>
    <t>TOTAL RANK</t>
  </si>
  <si>
    <t>FINAL RANK</t>
  </si>
  <si>
    <t>%</t>
  </si>
  <si>
    <t>Rank</t>
  </si>
  <si>
    <t>Tropical Attire</t>
  </si>
  <si>
    <t>Casual Interview</t>
  </si>
  <si>
    <t xml:space="preserve">Top 3 Finalists </t>
  </si>
  <si>
    <t>(Point System)</t>
  </si>
  <si>
    <t>Category</t>
  </si>
  <si>
    <t>Vintage Attire Presentation</t>
  </si>
  <si>
    <t>Points Earned</t>
  </si>
  <si>
    <t>(Rank System)</t>
  </si>
  <si>
    <t>PN</t>
  </si>
  <si>
    <t>TA</t>
  </si>
  <si>
    <t>CI</t>
  </si>
  <si>
    <t>Question and Answer</t>
  </si>
  <si>
    <t>Top 3</t>
  </si>
  <si>
    <t>CONSOLIDATED RESULT</t>
  </si>
  <si>
    <t>Final Round</t>
  </si>
  <si>
    <t>Production Number &amp; Vintage Attire Presentation</t>
  </si>
  <si>
    <t>SEMI-FINAL RESULTS</t>
  </si>
  <si>
    <t>Best in Production Number</t>
  </si>
  <si>
    <t>Male Candidate</t>
  </si>
  <si>
    <t>Female Candidate</t>
  </si>
  <si>
    <t xml:space="preserve">Best in Tropical Attire </t>
  </si>
  <si>
    <t>Best in Casual Interview</t>
  </si>
  <si>
    <t>Top 3 Finalists</t>
  </si>
  <si>
    <t>RANDALL LYN B. BLASCO</t>
  </si>
  <si>
    <t>ENGR. EDUARDO B. CARPIO, JR.</t>
  </si>
  <si>
    <t>MA. KATHLEEN DUREEN M. TRAVERO</t>
  </si>
  <si>
    <t>Chairman of the Board of Judges</t>
  </si>
  <si>
    <t>JAMES ANTHONY B. ESTOCADO</t>
  </si>
  <si>
    <t>Tabulator</t>
  </si>
  <si>
    <t>FINAL RESULTS</t>
  </si>
  <si>
    <t>Mister &amp; Miss BISU Tropiko 2024 - Second Runners-Up</t>
  </si>
  <si>
    <t>Mister &amp; Miss BISU Tropiko 2024  - First Runners-Up</t>
  </si>
  <si>
    <t xml:space="preserve">Mister &amp; Miss BISU Tropiko 2024 </t>
  </si>
  <si>
    <t>ANGELA A. CROWELL</t>
  </si>
  <si>
    <t>MARIANITO JOSE M. LUSPO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</si>
</sst>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"/>
    <numFmt numFmtId="166" formatCode="0.0%"/>
  </numFmts>
  <fonts count="2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Bahnschrift SemiLight SemiConde"/>
      <family val="2"/>
    </font>
    <font>
      <sz val="8"/>
      <name val="Calibri"/>
      <family val="2"/>
      <scheme val="minor"/>
    </font>
    <font>
      <b/>
      <sz val="16"/>
      <color theme="8" tint="-0.499984740745262"/>
      <name val="Roboto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Roboto"/>
    </font>
    <font>
      <b/>
      <sz val="11"/>
      <color theme="1"/>
      <name val="Roboto"/>
    </font>
    <font>
      <sz val="9"/>
      <color theme="1"/>
      <name val="Roboto"/>
    </font>
    <font>
      <b/>
      <sz val="16"/>
      <color theme="1"/>
      <name val="Roboto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Roboto"/>
    </font>
    <font>
      <sz val="8"/>
      <color theme="1"/>
      <name val="Roboto"/>
    </font>
    <font>
      <sz val="9"/>
      <color theme="1"/>
      <name val="Calibri"/>
      <family val="2"/>
      <scheme val="minor"/>
    </font>
    <font>
      <b/>
      <sz val="12"/>
      <color theme="1"/>
      <name val="Roboto"/>
    </font>
    <font>
      <b/>
      <sz val="10"/>
      <color theme="1"/>
      <name val="Roboto"/>
    </font>
    <font>
      <b/>
      <sz val="11"/>
      <color theme="3"/>
      <name val="Arial"/>
      <family val="2"/>
    </font>
    <font>
      <sz val="11"/>
      <color theme="3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8" tint="-0.499984740745262"/>
      <name val="Roboto"/>
    </font>
    <font>
      <b/>
      <sz val="14"/>
      <color theme="1"/>
      <name val="Roboto"/>
    </font>
    <font>
      <sz val="11"/>
      <color theme="0"/>
      <name val="Calibri"/>
      <family val="2"/>
      <scheme val="minor"/>
    </font>
    <font>
      <b/>
      <sz val="14"/>
      <color theme="0"/>
      <name val="Roboto"/>
    </font>
    <font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uble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 style="double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9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5" fillId="0" borderId="0" xfId="0" applyFont="1" applyAlignment="1">
      <alignment horizontal="center"/>
    </xf>
    <xf numFmtId="0" fontId="16" fillId="0" borderId="0" xfId="0" applyFont="1"/>
    <xf numFmtId="0" fontId="10" fillId="0" borderId="0" xfId="0" applyFont="1"/>
    <xf numFmtId="0" fontId="6" fillId="0" borderId="0" xfId="0" applyFont="1" applyAlignment="1">
      <alignment horizontal="center" vertical="center"/>
    </xf>
    <xf numFmtId="9" fontId="21" fillId="0" borderId="5" xfId="1" applyNumberFormat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 wrapText="1"/>
    </xf>
    <xf numFmtId="9" fontId="3" fillId="0" borderId="4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9" fontId="21" fillId="0" borderId="6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1" fillId="0" borderId="7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2" fontId="21" fillId="0" borderId="9" xfId="1" applyNumberFormat="1" applyFont="1" applyBorder="1" applyAlignment="1">
      <alignment horizontal="center" vertical="center"/>
    </xf>
    <xf numFmtId="165" fontId="21" fillId="0" borderId="9" xfId="1" applyNumberFormat="1" applyFont="1" applyBorder="1" applyAlignment="1">
      <alignment horizontal="center" vertical="center"/>
    </xf>
    <xf numFmtId="165" fontId="21" fillId="0" borderId="10" xfId="1" applyNumberFormat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9" fontId="3" fillId="0" borderId="16" xfId="1" applyNumberFormat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9" fontId="21" fillId="0" borderId="2" xfId="1" applyNumberFormat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165" fontId="21" fillId="0" borderId="21" xfId="1" applyNumberFormat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9" fontId="21" fillId="0" borderId="22" xfId="1" applyNumberFormat="1" applyFont="1" applyBorder="1" applyAlignment="1">
      <alignment horizontal="center" vertical="center"/>
    </xf>
    <xf numFmtId="166" fontId="21" fillId="0" borderId="5" xfId="1" applyNumberFormat="1" applyFont="1" applyBorder="1" applyAlignment="1">
      <alignment horizontal="center" vertical="center"/>
    </xf>
    <xf numFmtId="166" fontId="21" fillId="0" borderId="6" xfId="1" applyNumberFormat="1" applyFont="1" applyBorder="1" applyAlignment="1">
      <alignment horizontal="center" vertical="center"/>
    </xf>
    <xf numFmtId="166" fontId="21" fillId="0" borderId="2" xfId="1" applyNumberFormat="1" applyFont="1" applyBorder="1" applyAlignment="1">
      <alignment horizontal="center" vertical="center"/>
    </xf>
    <xf numFmtId="0" fontId="21" fillId="0" borderId="5" xfId="1" applyNumberFormat="1" applyFont="1" applyBorder="1" applyAlignment="1">
      <alignment horizontal="center" vertical="center"/>
    </xf>
    <xf numFmtId="9" fontId="23" fillId="0" borderId="4" xfId="1" applyNumberFormat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/>
    </xf>
    <xf numFmtId="166" fontId="21" fillId="0" borderId="9" xfId="1" applyNumberFormat="1" applyFont="1" applyBorder="1" applyAlignment="1">
      <alignment horizontal="center" vertical="center"/>
    </xf>
    <xf numFmtId="166" fontId="21" fillId="0" borderId="10" xfId="1" applyNumberFormat="1" applyFont="1" applyBorder="1" applyAlignment="1">
      <alignment horizontal="center" vertical="center"/>
    </xf>
    <xf numFmtId="166" fontId="21" fillId="0" borderId="21" xfId="1" applyNumberFormat="1" applyFont="1" applyBorder="1" applyAlignment="1">
      <alignment horizontal="center" vertical="center"/>
    </xf>
    <xf numFmtId="165" fontId="21" fillId="0" borderId="8" xfId="1" applyNumberFormat="1" applyFont="1" applyBorder="1" applyAlignment="1">
      <alignment horizontal="center" vertical="center"/>
    </xf>
    <xf numFmtId="165" fontId="21" fillId="0" borderId="20" xfId="1" applyNumberFormat="1" applyFont="1" applyBorder="1" applyAlignment="1">
      <alignment horizontal="center" vertical="center"/>
    </xf>
    <xf numFmtId="1" fontId="21" fillId="0" borderId="9" xfId="1" applyNumberFormat="1" applyFont="1" applyBorder="1" applyAlignment="1">
      <alignment horizontal="center" vertical="center"/>
    </xf>
    <xf numFmtId="1" fontId="21" fillId="0" borderId="8" xfId="1" applyNumberFormat="1" applyFont="1" applyBorder="1" applyAlignment="1">
      <alignment horizontal="center" vertical="center"/>
    </xf>
    <xf numFmtId="1" fontId="21" fillId="0" borderId="20" xfId="1" applyNumberFormat="1" applyFont="1" applyBorder="1" applyAlignment="1">
      <alignment horizontal="center" vertical="center"/>
    </xf>
    <xf numFmtId="166" fontId="1" fillId="0" borderId="5" xfId="1" applyNumberFormat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21" fillId="0" borderId="12" xfId="1" applyNumberFormat="1" applyFont="1" applyBorder="1" applyAlignment="1">
      <alignment horizontal="center" vertical="center"/>
    </xf>
    <xf numFmtId="0" fontId="21" fillId="0" borderId="9" xfId="1" applyNumberFormat="1" applyFont="1" applyBorder="1" applyAlignment="1">
      <alignment horizontal="center" vertical="center"/>
    </xf>
    <xf numFmtId="0" fontId="21" fillId="0" borderId="10" xfId="1" applyNumberFormat="1" applyFont="1" applyBorder="1" applyAlignment="1">
      <alignment horizontal="center" vertical="center"/>
    </xf>
    <xf numFmtId="0" fontId="21" fillId="0" borderId="21" xfId="1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0" fillId="0" borderId="32" xfId="0" applyBorder="1"/>
    <xf numFmtId="0" fontId="9" fillId="0" borderId="32" xfId="0" applyFont="1" applyBorder="1"/>
    <xf numFmtId="0" fontId="25" fillId="0" borderId="0" xfId="0" applyFont="1"/>
    <xf numFmtId="9" fontId="23" fillId="0" borderId="4" xfId="1" applyNumberFormat="1" applyFont="1" applyBorder="1" applyAlignment="1">
      <alignment vertical="center"/>
    </xf>
    <xf numFmtId="9" fontId="23" fillId="0" borderId="16" xfId="1" applyNumberFormat="1" applyFont="1" applyBorder="1" applyAlignment="1">
      <alignment vertical="center"/>
    </xf>
    <xf numFmtId="0" fontId="21" fillId="0" borderId="0" xfId="1" applyFont="1" applyBorder="1" applyAlignment="1">
      <alignment horizontal="center" vertical="center"/>
    </xf>
    <xf numFmtId="166" fontId="21" fillId="0" borderId="0" xfId="1" applyNumberFormat="1" applyFont="1" applyBorder="1" applyAlignment="1">
      <alignment horizontal="center" vertical="center"/>
    </xf>
    <xf numFmtId="0" fontId="21" fillId="0" borderId="0" xfId="1" applyNumberFormat="1" applyFont="1" applyBorder="1" applyAlignment="1">
      <alignment horizontal="center" vertical="center"/>
    </xf>
    <xf numFmtId="1" fontId="21" fillId="0" borderId="0" xfId="1" applyNumberFormat="1" applyFont="1" applyBorder="1" applyAlignment="1">
      <alignment horizontal="center" vertical="center"/>
    </xf>
    <xf numFmtId="0" fontId="21" fillId="0" borderId="0" xfId="1" applyFont="1" applyBorder="1" applyAlignment="1">
      <alignment horizontal="center" vertical="center" wrapText="1"/>
    </xf>
    <xf numFmtId="0" fontId="26" fillId="0" borderId="0" xfId="0" applyFont="1"/>
    <xf numFmtId="0" fontId="28" fillId="0" borderId="0" xfId="0" applyFont="1"/>
    <xf numFmtId="0" fontId="19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21" fillId="0" borderId="0" xfId="1" applyNumberFormat="1" applyFont="1" applyBorder="1" applyAlignment="1">
      <alignment horizontal="center" vertical="center"/>
    </xf>
    <xf numFmtId="165" fontId="21" fillId="0" borderId="0" xfId="1" applyNumberFormat="1" applyFont="1" applyBorder="1" applyAlignment="1">
      <alignment horizontal="center" vertical="center"/>
    </xf>
    <xf numFmtId="2" fontId="21" fillId="0" borderId="0" xfId="1" applyNumberFormat="1" applyFont="1" applyBorder="1" applyAlignment="1">
      <alignment horizontal="center" vertical="center"/>
    </xf>
    <xf numFmtId="9" fontId="23" fillId="0" borderId="34" xfId="1" applyNumberFormat="1" applyFont="1" applyBorder="1" applyAlignment="1">
      <alignment horizontal="center" vertical="center"/>
    </xf>
    <xf numFmtId="165" fontId="1" fillId="0" borderId="7" xfId="1" applyNumberFormat="1" applyFont="1" applyBorder="1" applyAlignment="1">
      <alignment horizontal="center" vertical="center"/>
    </xf>
    <xf numFmtId="0" fontId="21" fillId="0" borderId="7" xfId="1" applyNumberFormat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2" fontId="21" fillId="0" borderId="10" xfId="1" applyNumberFormat="1" applyFont="1" applyBorder="1" applyAlignment="1">
      <alignment horizontal="center" vertical="center"/>
    </xf>
    <xf numFmtId="2" fontId="21" fillId="0" borderId="21" xfId="1" applyNumberFormat="1" applyFont="1" applyBorder="1" applyAlignment="1">
      <alignment horizontal="center" vertical="center"/>
    </xf>
    <xf numFmtId="0" fontId="0" fillId="0" borderId="0" xfId="0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 indent="1"/>
      <protection hidden="1"/>
    </xf>
    <xf numFmtId="0" fontId="0" fillId="0" borderId="0" xfId="0" applyAlignment="1" applyProtection="1">
      <alignment vertical="top"/>
      <protection hidden="1"/>
    </xf>
    <xf numFmtId="0" fontId="9" fillId="0" borderId="0" xfId="0" applyFont="1" applyAlignment="1" applyProtection="1">
      <alignment vertical="top"/>
      <protection hidden="1"/>
    </xf>
    <xf numFmtId="0" fontId="9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9" fillId="0" borderId="32" xfId="0" applyFont="1" applyBorder="1" applyProtection="1">
      <protection hidden="1"/>
    </xf>
    <xf numFmtId="0" fontId="9" fillId="0" borderId="0" xfId="0" applyFont="1" applyAlignment="1">
      <alignment horizontal="center"/>
    </xf>
    <xf numFmtId="165" fontId="21" fillId="0" borderId="2" xfId="1" applyNumberFormat="1" applyFont="1" applyBorder="1" applyAlignment="1">
      <alignment horizontal="center" vertical="center"/>
    </xf>
    <xf numFmtId="2" fontId="21" fillId="0" borderId="20" xfId="1" applyNumberFormat="1" applyFont="1" applyBorder="1" applyAlignment="1">
      <alignment horizontal="center" vertical="center"/>
    </xf>
    <xf numFmtId="0" fontId="21" fillId="0" borderId="2" xfId="1" applyNumberFormat="1" applyFont="1" applyBorder="1" applyAlignment="1">
      <alignment horizontal="center" vertical="center"/>
    </xf>
    <xf numFmtId="0" fontId="21" fillId="0" borderId="19" xfId="1" applyNumberFormat="1" applyFont="1" applyBorder="1" applyAlignment="1">
      <alignment horizontal="center" vertical="center"/>
    </xf>
    <xf numFmtId="9" fontId="23" fillId="0" borderId="4" xfId="1" applyNumberFormat="1" applyFont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2" fontId="21" fillId="0" borderId="8" xfId="1" applyNumberFormat="1" applyFont="1" applyBorder="1" applyAlignment="1">
      <alignment horizontal="center" vertical="center"/>
    </xf>
    <xf numFmtId="0" fontId="21" fillId="0" borderId="6" xfId="1" applyNumberFormat="1" applyFont="1" applyBorder="1" applyAlignment="1">
      <alignment horizontal="center" vertical="center"/>
    </xf>
    <xf numFmtId="0" fontId="21" fillId="0" borderId="27" xfId="1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  <xf numFmtId="0" fontId="25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3" fillId="0" borderId="23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9" fontId="23" fillId="0" borderId="4" xfId="1" applyNumberFormat="1" applyFont="1" applyBorder="1" applyAlignment="1">
      <alignment horizontal="center" vertical="center"/>
    </xf>
    <xf numFmtId="9" fontId="23" fillId="0" borderId="16" xfId="1" applyNumberFormat="1" applyFont="1" applyBorder="1" applyAlignment="1">
      <alignment horizontal="center" vertical="center"/>
    </xf>
    <xf numFmtId="165" fontId="21" fillId="0" borderId="2" xfId="1" applyNumberFormat="1" applyFont="1" applyBorder="1" applyAlignment="1">
      <alignment horizontal="center" vertical="center"/>
    </xf>
    <xf numFmtId="165" fontId="21" fillId="0" borderId="19" xfId="1" applyNumberFormat="1" applyFont="1" applyBorder="1" applyAlignment="1">
      <alignment horizontal="center" vertical="center"/>
    </xf>
    <xf numFmtId="2" fontId="21" fillId="0" borderId="2" xfId="1" applyNumberFormat="1" applyFont="1" applyBorder="1" applyAlignment="1">
      <alignment horizontal="center" vertical="center"/>
    </xf>
    <xf numFmtId="2" fontId="21" fillId="0" borderId="20" xfId="1" applyNumberFormat="1" applyFont="1" applyBorder="1" applyAlignment="1">
      <alignment horizontal="center" vertical="center"/>
    </xf>
    <xf numFmtId="0" fontId="21" fillId="0" borderId="2" xfId="1" applyNumberFormat="1" applyFont="1" applyBorder="1" applyAlignment="1">
      <alignment horizontal="center" vertical="center"/>
    </xf>
    <xf numFmtId="0" fontId="21" fillId="0" borderId="19" xfId="1" applyNumberFormat="1" applyFont="1" applyBorder="1" applyAlignment="1">
      <alignment horizontal="center" vertical="center"/>
    </xf>
    <xf numFmtId="0" fontId="21" fillId="0" borderId="20" xfId="1" applyNumberFormat="1" applyFont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165" fontId="21" fillId="0" borderId="27" xfId="1" applyNumberFormat="1" applyFont="1" applyBorder="1" applyAlignment="1">
      <alignment horizontal="center" vertical="center"/>
    </xf>
    <xf numFmtId="2" fontId="21" fillId="0" borderId="6" xfId="1" applyNumberFormat="1" applyFont="1" applyBorder="1" applyAlignment="1">
      <alignment horizontal="center" vertical="center"/>
    </xf>
    <xf numFmtId="2" fontId="21" fillId="0" borderId="8" xfId="1" applyNumberFormat="1" applyFont="1" applyBorder="1" applyAlignment="1">
      <alignment horizontal="center" vertical="center"/>
    </xf>
    <xf numFmtId="0" fontId="21" fillId="0" borderId="6" xfId="1" applyNumberFormat="1" applyFont="1" applyBorder="1" applyAlignment="1">
      <alignment horizontal="center" vertical="center"/>
    </xf>
    <xf numFmtId="0" fontId="21" fillId="0" borderId="27" xfId="1" applyNumberFormat="1" applyFont="1" applyBorder="1" applyAlignment="1">
      <alignment horizontal="center" vertical="center"/>
    </xf>
    <xf numFmtId="0" fontId="21" fillId="0" borderId="8" xfId="1" applyNumberFormat="1" applyFont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/>
    </xf>
    <xf numFmtId="165" fontId="1" fillId="0" borderId="12" xfId="1" applyNumberFormat="1" applyFont="1" applyBorder="1" applyAlignment="1">
      <alignment horizontal="center" vertical="center"/>
    </xf>
    <xf numFmtId="2" fontId="1" fillId="0" borderId="5" xfId="1" applyNumberFormat="1" applyFont="1" applyBorder="1" applyAlignment="1">
      <alignment horizontal="center" vertical="center"/>
    </xf>
    <xf numFmtId="2" fontId="1" fillId="0" borderId="7" xfId="1" applyNumberFormat="1" applyFont="1" applyBorder="1" applyAlignment="1">
      <alignment horizontal="center" vertical="center"/>
    </xf>
    <xf numFmtId="0" fontId="1" fillId="0" borderId="5" xfId="1" applyNumberFormat="1" applyFont="1" applyBorder="1" applyAlignment="1">
      <alignment horizontal="center" vertical="center"/>
    </xf>
    <xf numFmtId="0" fontId="1" fillId="0" borderId="12" xfId="1" applyNumberFormat="1" applyFont="1" applyBorder="1" applyAlignment="1">
      <alignment horizontal="center" vertical="center"/>
    </xf>
    <xf numFmtId="0" fontId="1" fillId="0" borderId="7" xfId="1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10" fillId="0" borderId="0" xfId="0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center"/>
      <protection hidden="1"/>
    </xf>
  </cellXfs>
  <cellStyles count="2">
    <cellStyle name="Heading 4" xfId="1" builtinId="19"/>
    <cellStyle name="Normal" xfId="0" builtinId="0"/>
  </cellStyles>
  <dxfs count="66"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8" tint="0.59996337778862885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8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-0.24994659260841701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https://r7deped1-my.sharepoint.com/personal/118169190035_r7-1_deped_gov_ph/Documents/BISU%20Balilihan/Culture%20and%20Arts%20Competition/Judge%202.xlsx" TargetMode="External"/><Relationship Id="rId7" Type="http://schemas.openxmlformats.org/officeDocument/2006/relationships/hyperlink" Target="#Final!A1"/><Relationship Id="rId2" Type="http://schemas.openxmlformats.org/officeDocument/2006/relationships/hyperlink" Target="https://r7deped1-my.sharepoint.com/personal/118169190035_r7-1_deped_gov_ph/Documents/BISU%20Balilihan/Culture%20and%20Arts%20Competition/Judge%201.xlsx" TargetMode="External"/><Relationship Id="rId1" Type="http://schemas.openxmlformats.org/officeDocument/2006/relationships/image" Target="../media/image1.png"/><Relationship Id="rId6" Type="http://schemas.openxmlformats.org/officeDocument/2006/relationships/hyperlink" Target="#'Contemporary Dance'!A1"/><Relationship Id="rId5" Type="http://schemas.openxmlformats.org/officeDocument/2006/relationships/hyperlink" Target="#'Semi-Final'!A1"/><Relationship Id="rId4" Type="http://schemas.openxmlformats.org/officeDocument/2006/relationships/hyperlink" Target="https://r7deped1-my.sharepoint.com/personal/118169190035_r7-1_deped_gov_ph/Documents/BISU%20Balilihan/Culture%20and%20Arts%20Competition/Judge%203.xlsx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502119</xdr:colOff>
      <xdr:row>0</xdr:row>
      <xdr:rowOff>52594</xdr:rowOff>
    </xdr:from>
    <xdr:to>
      <xdr:col>1</xdr:col>
      <xdr:colOff>608401</xdr:colOff>
      <xdr:row>3</xdr:row>
      <xdr:rowOff>132553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4DAF6A8-8E4C-41B6-94D9-9325195AB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2119" y="52594"/>
          <a:ext cx="1820782" cy="1106684"/>
        </a:xfrm>
        <a:prstGeom prst="rect">
          <a:avLst/>
        </a:prstGeom>
      </xdr:spPr>
    </xdr:pic>
    <xdr:clientData/>
  </xdr:twoCellAnchor>
  <xdr:twoCellAnchor>
    <xdr:from>
      <xdr:col>0</xdr:col>
      <xdr:colOff>1565413</xdr:colOff>
      <xdr:row>9</xdr:row>
      <xdr:rowOff>0</xdr:rowOff>
    </xdr:from>
    <xdr:to>
      <xdr:col>2</xdr:col>
      <xdr:colOff>91109</xdr:colOff>
      <xdr:row>12</xdr:row>
      <xdr:rowOff>19050</xdr:rowOff>
    </xdr:to>
    <xdr:sp macro="" textlink="">
      <xdr:nvSpPr>
        <xdr:cNvPr id="20" name="Rectangle: Rounded Corner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EB64FB-517B-463E-867F-00354DF928C2}"/>
            </a:ext>
          </a:extLst>
        </xdr:cNvPr>
        <xdr:cNvSpPr/>
      </xdr:nvSpPr>
      <xdr:spPr>
        <a:xfrm>
          <a:off x="1565413" y="1914525"/>
          <a:ext cx="1954696" cy="59055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Judge 1</a:t>
          </a:r>
        </a:p>
      </xdr:txBody>
    </xdr:sp>
    <xdr:clientData/>
  </xdr:twoCellAnchor>
  <xdr:twoCellAnchor>
    <xdr:from>
      <xdr:col>2</xdr:col>
      <xdr:colOff>395909</xdr:colOff>
      <xdr:row>9</xdr:row>
      <xdr:rowOff>0</xdr:rowOff>
    </xdr:from>
    <xdr:to>
      <xdr:col>3</xdr:col>
      <xdr:colOff>853109</xdr:colOff>
      <xdr:row>12</xdr:row>
      <xdr:rowOff>19050</xdr:rowOff>
    </xdr:to>
    <xdr:sp macro="" textlink="">
      <xdr:nvSpPr>
        <xdr:cNvPr id="21" name="Rectangle: Rounded Corner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0AB430-FF8C-406E-AE72-B6FD90D32747}"/>
            </a:ext>
          </a:extLst>
        </xdr:cNvPr>
        <xdr:cNvSpPr/>
      </xdr:nvSpPr>
      <xdr:spPr>
        <a:xfrm>
          <a:off x="3824909" y="1914525"/>
          <a:ext cx="1724025" cy="59055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Judge 2</a:t>
          </a:r>
        </a:p>
      </xdr:txBody>
    </xdr:sp>
    <xdr:clientData/>
  </xdr:twoCellAnchor>
  <xdr:twoCellAnchor>
    <xdr:from>
      <xdr:col>3</xdr:col>
      <xdr:colOff>1167434</xdr:colOff>
      <xdr:row>9</xdr:row>
      <xdr:rowOff>0</xdr:rowOff>
    </xdr:from>
    <xdr:to>
      <xdr:col>5</xdr:col>
      <xdr:colOff>110159</xdr:colOff>
      <xdr:row>12</xdr:row>
      <xdr:rowOff>19050</xdr:rowOff>
    </xdr:to>
    <xdr:sp macro="" textlink="">
      <xdr:nvSpPr>
        <xdr:cNvPr id="22" name="Rectangle: Rounded Corners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28802D-CDB7-444C-8FEB-F6E4156D053C}"/>
            </a:ext>
          </a:extLst>
        </xdr:cNvPr>
        <xdr:cNvSpPr/>
      </xdr:nvSpPr>
      <xdr:spPr>
        <a:xfrm>
          <a:off x="5863259" y="1914525"/>
          <a:ext cx="1924050" cy="59055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Judge 3</a:t>
          </a:r>
        </a:p>
      </xdr:txBody>
    </xdr:sp>
    <xdr:clientData/>
  </xdr:twoCellAnchor>
  <xdr:twoCellAnchor>
    <xdr:from>
      <xdr:col>1</xdr:col>
      <xdr:colOff>999711</xdr:colOff>
      <xdr:row>13</xdr:row>
      <xdr:rowOff>144531</xdr:rowOff>
    </xdr:from>
    <xdr:to>
      <xdr:col>2</xdr:col>
      <xdr:colOff>1114011</xdr:colOff>
      <xdr:row>16</xdr:row>
      <xdr:rowOff>163581</xdr:rowOff>
    </xdr:to>
    <xdr:sp macro="" textlink="">
      <xdr:nvSpPr>
        <xdr:cNvPr id="23" name="Rectangle: Rounded Corners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E4B888-32F7-443B-AA9B-4A5139325ADB}"/>
            </a:ext>
          </a:extLst>
        </xdr:cNvPr>
        <xdr:cNvSpPr/>
      </xdr:nvSpPr>
      <xdr:spPr>
        <a:xfrm>
          <a:off x="2714211" y="2819814"/>
          <a:ext cx="1828800" cy="590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Semi-Final</a:t>
          </a:r>
        </a:p>
      </xdr:txBody>
    </xdr:sp>
    <xdr:clientData/>
  </xdr:twoCellAnchor>
  <xdr:twoCellAnchor>
    <xdr:from>
      <xdr:col>2</xdr:col>
      <xdr:colOff>222037</xdr:colOff>
      <xdr:row>18</xdr:row>
      <xdr:rowOff>15832</xdr:rowOff>
    </xdr:from>
    <xdr:to>
      <xdr:col>3</xdr:col>
      <xdr:colOff>678918</xdr:colOff>
      <xdr:row>21</xdr:row>
      <xdr:rowOff>34882</xdr:rowOff>
    </xdr:to>
    <xdr:sp macro="" textlink="">
      <xdr:nvSpPr>
        <xdr:cNvPr id="24" name="Rectangle: Rounded Corners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390224-D06F-4A7F-B571-A1771DB7D643}"/>
            </a:ext>
          </a:extLst>
        </xdr:cNvPr>
        <xdr:cNvSpPr/>
      </xdr:nvSpPr>
      <xdr:spPr>
        <a:xfrm>
          <a:off x="3651037" y="3899101"/>
          <a:ext cx="1724439" cy="590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Winners</a:t>
          </a:r>
        </a:p>
      </xdr:txBody>
    </xdr:sp>
    <xdr:clientData/>
  </xdr:twoCellAnchor>
  <xdr:twoCellAnchor>
    <xdr:from>
      <xdr:col>3</xdr:col>
      <xdr:colOff>121754</xdr:colOff>
      <xdr:row>13</xdr:row>
      <xdr:rowOff>144531</xdr:rowOff>
    </xdr:from>
    <xdr:to>
      <xdr:col>4</xdr:col>
      <xdr:colOff>683315</xdr:colOff>
      <xdr:row>16</xdr:row>
      <xdr:rowOff>163581</xdr:rowOff>
    </xdr:to>
    <xdr:sp macro="" textlink="">
      <xdr:nvSpPr>
        <xdr:cNvPr id="5" name="Rectangle: Rounded Corner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BFA2D6-7791-2AD7-5D05-B48F6DE1539D}"/>
            </a:ext>
          </a:extLst>
        </xdr:cNvPr>
        <xdr:cNvSpPr/>
      </xdr:nvSpPr>
      <xdr:spPr>
        <a:xfrm>
          <a:off x="4817993" y="2819814"/>
          <a:ext cx="1828800" cy="590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solidFill>
                <a:schemeClr val="bg1"/>
              </a:solidFill>
              <a:latin typeface="Roboto" pitchFamily="2" charset="0"/>
              <a:ea typeface="Roboto" pitchFamily="2" charset="0"/>
            </a:rPr>
            <a:t>Final</a:t>
          </a:r>
        </a:p>
      </xdr:txBody>
    </xdr:sp>
    <xdr:clientData/>
  </xdr:twoCellAnchor>
  <xdr:twoCellAnchor editAs="oneCell">
    <xdr:from>
      <xdr:col>4</xdr:col>
      <xdr:colOff>1230923</xdr:colOff>
      <xdr:row>0</xdr:row>
      <xdr:rowOff>0</xdr:rowOff>
    </xdr:from>
    <xdr:to>
      <xdr:col>5</xdr:col>
      <xdr:colOff>1630973</xdr:colOff>
      <xdr:row>5</xdr:row>
      <xdr:rowOff>81563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879287-AF10-46C1-8AF7-A9C1F6605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038" y="0"/>
          <a:ext cx="2114550" cy="1488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82074</xdr:colOff>
      <xdr:row>1</xdr:row>
      <xdr:rowOff>116978</xdr:rowOff>
    </xdr:from>
    <xdr:to>
      <xdr:col>6</xdr:col>
      <xdr:colOff>658211</xdr:colOff>
      <xdr:row>5</xdr:row>
      <xdr:rowOff>303228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A41241CA-EBA0-4E6B-AB15-A182EB9B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3824" y="307478"/>
          <a:ext cx="1909637" cy="11482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281154</xdr:colOff>
      <xdr:row>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1073C1-0C35-4F57-ADCE-074A708B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0"/>
          <a:ext cx="2281404" cy="1609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205899</xdr:colOff>
      <xdr:row>0</xdr:row>
      <xdr:rowOff>183653</xdr:rowOff>
    </xdr:from>
    <xdr:to>
      <xdr:col>7</xdr:col>
      <xdr:colOff>115286</xdr:colOff>
      <xdr:row>5</xdr:row>
      <xdr:rowOff>179403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08814-3C87-4897-8ADE-04D314922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77649" y="183653"/>
          <a:ext cx="1909637" cy="1148275"/>
        </a:xfrm>
        <a:prstGeom prst="rect">
          <a:avLst/>
        </a:prstGeom>
      </xdr:spPr>
    </xdr:pic>
    <xdr:clientData/>
  </xdr:twoCellAnchor>
  <xdr:twoCellAnchor editAs="oneCell">
    <xdr:from>
      <xdr:col>16</xdr:col>
      <xdr:colOff>437029</xdr:colOff>
      <xdr:row>0</xdr:row>
      <xdr:rowOff>67235</xdr:rowOff>
    </xdr:from>
    <xdr:to>
      <xdr:col>19</xdr:col>
      <xdr:colOff>701374</xdr:colOff>
      <xdr:row>6</xdr:row>
      <xdr:rowOff>175372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1B3F14-DA84-40BB-A0E4-85F3C37B4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6676" y="67235"/>
          <a:ext cx="2281404" cy="1609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219874</xdr:colOff>
      <xdr:row>0</xdr:row>
      <xdr:rowOff>133280</xdr:rowOff>
    </xdr:from>
    <xdr:to>
      <xdr:col>2</xdr:col>
      <xdr:colOff>197069</xdr:colOff>
      <xdr:row>4</xdr:row>
      <xdr:rowOff>12842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A7BC94E-CD21-43A9-8617-0BA82601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5684" y="133280"/>
          <a:ext cx="1166178" cy="713821"/>
        </a:xfrm>
        <a:prstGeom prst="rect">
          <a:avLst/>
        </a:prstGeom>
      </xdr:spPr>
    </xdr:pic>
    <xdr:clientData/>
  </xdr:twoCellAnchor>
  <xdr:twoCellAnchor editAs="oneCell">
    <xdr:from>
      <xdr:col>7</xdr:col>
      <xdr:colOff>978775</xdr:colOff>
      <xdr:row>0</xdr:row>
      <xdr:rowOff>0</xdr:rowOff>
    </xdr:from>
    <xdr:to>
      <xdr:col>9</xdr:col>
      <xdr:colOff>91966</xdr:colOff>
      <xdr:row>5</xdr:row>
      <xdr:rowOff>27379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903A30-DE2A-45F6-A2D3-2D22CD6B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2689" y="0"/>
          <a:ext cx="1491156" cy="10521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160753</xdr:colOff>
      <xdr:row>0</xdr:row>
      <xdr:rowOff>126712</xdr:rowOff>
    </xdr:from>
    <xdr:to>
      <xdr:col>2</xdr:col>
      <xdr:colOff>131379</xdr:colOff>
      <xdr:row>4</xdr:row>
      <xdr:rowOff>2253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5909F-1F4D-4211-8EF3-4B469599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6563" y="126712"/>
          <a:ext cx="1159609" cy="709800"/>
        </a:xfrm>
        <a:prstGeom prst="rect">
          <a:avLst/>
        </a:prstGeom>
      </xdr:spPr>
    </xdr:pic>
    <xdr:clientData/>
  </xdr:twoCellAnchor>
  <xdr:twoCellAnchor editAs="oneCell">
    <xdr:from>
      <xdr:col>7</xdr:col>
      <xdr:colOff>919655</xdr:colOff>
      <xdr:row>0</xdr:row>
      <xdr:rowOff>0</xdr:rowOff>
    </xdr:from>
    <xdr:to>
      <xdr:col>9</xdr:col>
      <xdr:colOff>109612</xdr:colOff>
      <xdr:row>5</xdr:row>
      <xdr:rowOff>78827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3B2F9A-2965-44A7-B661-26C5AF6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569" y="0"/>
          <a:ext cx="1567922" cy="11035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52b32ff04510e7/BISU%20Balilihan/Acquaintance%202023/Acquaintance%202024/Judge%201.xlsx" TargetMode="External"/><Relationship Id="rId1" Type="http://schemas.openxmlformats.org/officeDocument/2006/relationships/externalLinkPath" Target="Judge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52b32ff04510e7/BISU%20Balilihan/Acquaintance%202023/Acquaintance%202024/Judge%202.xlsx" TargetMode="External"/><Relationship Id="rId1" Type="http://schemas.openxmlformats.org/officeDocument/2006/relationships/externalLinkPath" Target="Judge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52b32ff04510e7/BISU%20Balilihan/Acquaintance%202023/Acquaintance%202024/Judge%203.xlsx" TargetMode="External"/><Relationship Id="rId1" Type="http://schemas.openxmlformats.org/officeDocument/2006/relationships/externalLinkPath" Target="Judge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9852b32ff04510e7" itemId="9852b32ff04510e7!145339">
      <xxl21:absoluteUrl r:id="rId2"/>
    </xxl21:alternateUrls>
    <sheetNames>
      <sheetName val="Dashboard"/>
      <sheetName val="Production Number"/>
      <sheetName val="Tropical Attire"/>
      <sheetName val="Top 3 Results"/>
      <sheetName val="Casual Interview"/>
      <sheetName val="Top 3"/>
      <sheetName val="Result"/>
    </sheetNames>
    <sheetDataSet>
      <sheetData sheetId="0"/>
      <sheetData sheetId="1">
        <row r="16">
          <cell r="G16">
            <v>0.97</v>
          </cell>
          <cell r="O16">
            <v>0.94</v>
          </cell>
        </row>
        <row r="17">
          <cell r="G17">
            <v>0.94</v>
          </cell>
          <cell r="O17">
            <v>0.93</v>
          </cell>
        </row>
        <row r="18">
          <cell r="G18">
            <v>0.95</v>
          </cell>
          <cell r="O18">
            <v>0.93</v>
          </cell>
        </row>
        <row r="19">
          <cell r="G19">
            <v>0.95</v>
          </cell>
          <cell r="O19">
            <v>0.96</v>
          </cell>
        </row>
        <row r="20">
          <cell r="G20">
            <v>0.92</v>
          </cell>
          <cell r="O20">
            <v>0.94</v>
          </cell>
        </row>
        <row r="21">
          <cell r="G21">
            <v>0.95</v>
          </cell>
          <cell r="O21">
            <v>0.94</v>
          </cell>
        </row>
      </sheetData>
      <sheetData sheetId="2">
        <row r="16">
          <cell r="G16">
            <v>0.94</v>
          </cell>
        </row>
      </sheetData>
      <sheetData sheetId="3"/>
      <sheetData sheetId="4">
        <row r="16">
          <cell r="G16">
            <v>0.86</v>
          </cell>
          <cell r="O16">
            <v>0.85</v>
          </cell>
        </row>
        <row r="17">
          <cell r="G17">
            <v>0.93</v>
          </cell>
          <cell r="O17">
            <v>0.92</v>
          </cell>
        </row>
        <row r="18">
          <cell r="G18">
            <v>0.95</v>
          </cell>
          <cell r="O18">
            <v>0.85</v>
          </cell>
        </row>
        <row r="19">
          <cell r="G19">
            <v>0.92</v>
          </cell>
          <cell r="O19">
            <v>0.94</v>
          </cell>
        </row>
        <row r="20">
          <cell r="G20">
            <v>0.93</v>
          </cell>
          <cell r="O20">
            <v>0.88</v>
          </cell>
        </row>
        <row r="21">
          <cell r="G21">
            <v>0.98</v>
          </cell>
          <cell r="O21">
            <v>0.84</v>
          </cell>
        </row>
      </sheetData>
      <sheetData sheetId="5">
        <row r="16">
          <cell r="F16">
            <v>0.88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9852b32ff04510e7" itemId="9852b32ff04510e7!145351">
      <xxl21:absoluteUrl r:id="rId2"/>
    </xxl21:alternateUrls>
    <sheetNames>
      <sheetName val="Dashboard"/>
      <sheetName val="Production Number"/>
      <sheetName val="Tropical Attire"/>
      <sheetName val="Top 3 Results"/>
      <sheetName val="Casual Interview"/>
      <sheetName val="Top 3"/>
      <sheetName val="Result"/>
    </sheetNames>
    <sheetDataSet>
      <sheetData sheetId="0"/>
      <sheetData sheetId="1">
        <row r="16">
          <cell r="G16">
            <v>0.85</v>
          </cell>
          <cell r="O16">
            <v>0.87</v>
          </cell>
        </row>
        <row r="17">
          <cell r="G17">
            <v>0.82</v>
          </cell>
          <cell r="O17">
            <v>0.84</v>
          </cell>
        </row>
        <row r="18">
          <cell r="G18">
            <v>0.85</v>
          </cell>
          <cell r="O18">
            <v>0.83</v>
          </cell>
        </row>
        <row r="19">
          <cell r="G19">
            <v>0.91</v>
          </cell>
          <cell r="O19">
            <v>0.84</v>
          </cell>
        </row>
        <row r="20">
          <cell r="G20">
            <v>0.85</v>
          </cell>
          <cell r="O20">
            <v>0.88</v>
          </cell>
        </row>
        <row r="21">
          <cell r="G21">
            <v>0.84</v>
          </cell>
          <cell r="O21">
            <v>0.82</v>
          </cell>
        </row>
      </sheetData>
      <sheetData sheetId="2">
        <row r="16">
          <cell r="G16">
            <v>0.85</v>
          </cell>
          <cell r="O16">
            <v>0.89</v>
          </cell>
        </row>
        <row r="17">
          <cell r="G17">
            <v>0.93</v>
          </cell>
          <cell r="O17">
            <v>0.92</v>
          </cell>
        </row>
        <row r="18">
          <cell r="G18">
            <v>0.84</v>
          </cell>
          <cell r="O18">
            <v>0.85</v>
          </cell>
        </row>
        <row r="19">
          <cell r="G19">
            <v>0.86</v>
          </cell>
          <cell r="O19">
            <v>0.88</v>
          </cell>
        </row>
        <row r="20">
          <cell r="G20">
            <v>0.87</v>
          </cell>
          <cell r="O20">
            <v>0.88</v>
          </cell>
        </row>
        <row r="21">
          <cell r="G21">
            <v>0.9</v>
          </cell>
          <cell r="O21">
            <v>0.88</v>
          </cell>
        </row>
      </sheetData>
      <sheetData sheetId="3"/>
      <sheetData sheetId="4">
        <row r="16">
          <cell r="G16">
            <v>0.8</v>
          </cell>
          <cell r="O16">
            <v>0.86</v>
          </cell>
        </row>
        <row r="17">
          <cell r="G17">
            <v>0.87</v>
          </cell>
          <cell r="O17">
            <v>0.87</v>
          </cell>
        </row>
        <row r="18">
          <cell r="G18">
            <v>0.87</v>
          </cell>
          <cell r="O18">
            <v>0.82</v>
          </cell>
        </row>
        <row r="19">
          <cell r="G19">
            <v>0.83</v>
          </cell>
          <cell r="O19">
            <v>0.85</v>
          </cell>
        </row>
        <row r="20">
          <cell r="G20">
            <v>0.9</v>
          </cell>
          <cell r="O20">
            <v>0.88</v>
          </cell>
        </row>
        <row r="21">
          <cell r="G21">
            <v>0.89</v>
          </cell>
          <cell r="O21">
            <v>0.79</v>
          </cell>
        </row>
      </sheetData>
      <sheetData sheetId="5">
        <row r="16">
          <cell r="F16">
            <v>0.88</v>
          </cell>
          <cell r="M16">
            <v>0.91</v>
          </cell>
        </row>
        <row r="17">
          <cell r="F17">
            <v>0.83</v>
          </cell>
          <cell r="M17">
            <v>0.92</v>
          </cell>
        </row>
        <row r="18">
          <cell r="F18">
            <v>0.86</v>
          </cell>
          <cell r="M18">
            <v>0.86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9852b32ff04510e7" itemId="9852b32ff04510e7!145353">
      <xxl21:absoluteUrl r:id="rId2"/>
    </xxl21:alternateUrls>
    <sheetNames>
      <sheetName val="Dashboard"/>
      <sheetName val="Production Number"/>
      <sheetName val="Tropical Attire"/>
      <sheetName val="Top 3 Results"/>
      <sheetName val="Casual Interview"/>
      <sheetName val="Top 3"/>
      <sheetName val="Result"/>
    </sheetNames>
    <sheetDataSet>
      <sheetData sheetId="0"/>
      <sheetData sheetId="1">
        <row r="16">
          <cell r="G16">
            <v>0.87</v>
          </cell>
          <cell r="O16">
            <v>0.86</v>
          </cell>
        </row>
        <row r="17">
          <cell r="G17">
            <v>0.87</v>
          </cell>
          <cell r="O17">
            <v>0.92</v>
          </cell>
        </row>
        <row r="18">
          <cell r="G18">
            <v>0.94</v>
          </cell>
          <cell r="O18">
            <v>0.86</v>
          </cell>
        </row>
        <row r="19">
          <cell r="G19">
            <v>0.88</v>
          </cell>
          <cell r="O19">
            <v>0.86</v>
          </cell>
        </row>
        <row r="20">
          <cell r="G20">
            <v>0.9</v>
          </cell>
          <cell r="O20">
            <v>0.91</v>
          </cell>
        </row>
        <row r="21">
          <cell r="G21">
            <v>0.79</v>
          </cell>
          <cell r="O21">
            <v>0.9</v>
          </cell>
        </row>
      </sheetData>
      <sheetData sheetId="2">
        <row r="16">
          <cell r="G16">
            <v>0.91</v>
          </cell>
          <cell r="O16">
            <v>0.89</v>
          </cell>
        </row>
        <row r="17">
          <cell r="G17">
            <v>0.87</v>
          </cell>
          <cell r="O17">
            <v>0.92</v>
          </cell>
        </row>
        <row r="18">
          <cell r="G18">
            <v>0.93</v>
          </cell>
          <cell r="O18">
            <v>0.87</v>
          </cell>
        </row>
        <row r="19">
          <cell r="G19">
            <v>0.89</v>
          </cell>
          <cell r="O19">
            <v>0.89</v>
          </cell>
        </row>
        <row r="20">
          <cell r="G20">
            <v>0.94</v>
          </cell>
          <cell r="O20">
            <v>0.9</v>
          </cell>
        </row>
        <row r="21">
          <cell r="G21">
            <v>0.92</v>
          </cell>
          <cell r="O21">
            <v>0.88</v>
          </cell>
        </row>
      </sheetData>
      <sheetData sheetId="3"/>
      <sheetData sheetId="4">
        <row r="16">
          <cell r="G16">
            <v>0.85</v>
          </cell>
          <cell r="O16">
            <v>0.86</v>
          </cell>
        </row>
        <row r="17">
          <cell r="G17">
            <v>0.86</v>
          </cell>
          <cell r="O17">
            <v>0.94</v>
          </cell>
        </row>
        <row r="18">
          <cell r="G18">
            <v>0.95</v>
          </cell>
          <cell r="O18">
            <v>0.88</v>
          </cell>
        </row>
        <row r="19">
          <cell r="G19">
            <v>0.84</v>
          </cell>
          <cell r="O19">
            <v>0.92</v>
          </cell>
        </row>
        <row r="20">
          <cell r="G20">
            <v>0.87</v>
          </cell>
          <cell r="O20">
            <v>0.9</v>
          </cell>
        </row>
        <row r="21">
          <cell r="G21">
            <v>0.94</v>
          </cell>
          <cell r="O21">
            <v>0.8</v>
          </cell>
        </row>
      </sheetData>
      <sheetData sheetId="5">
        <row r="16">
          <cell r="F16">
            <v>0.87</v>
          </cell>
          <cell r="M16">
            <v>0.95</v>
          </cell>
        </row>
        <row r="17">
          <cell r="F17">
            <v>0.91</v>
          </cell>
          <cell r="M17">
            <v>0.94</v>
          </cell>
        </row>
        <row r="18">
          <cell r="F18">
            <v>0.9</v>
          </cell>
          <cell r="M18">
            <v>0.93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6702-4FAD-461D-A85A-5D9CCDE6633F}">
  <dimension ref="A1:F26"/>
  <sheetViews>
    <sheetView showGridLines="0" topLeftCell="A28" zoomScale="130" zoomScaleNormal="130" workbookViewId="0">
      <selection activeCell="C25" sqref="C25:D25"/>
    </sheetView>
  </sheetViews>
  <sheetFormatPr defaultRowHeight="15"/>
  <cols>
    <col min="1" max="2" width="25.7109375" customWidth="1"/>
    <col min="3" max="4" width="19" customWidth="1"/>
    <col min="5" max="6" width="25.7109375" customWidth="1"/>
  </cols>
  <sheetData>
    <row r="1" spans="1:6" ht="35.25" customHeight="1"/>
    <row r="2" spans="1:6" ht="25.5">
      <c r="A2" s="113" t="s">
        <v>0</v>
      </c>
      <c r="B2" s="113"/>
      <c r="C2" s="113"/>
      <c r="D2" s="113"/>
      <c r="E2" s="113"/>
      <c r="F2" s="113"/>
    </row>
    <row r="3" spans="1:6" ht="20.25">
      <c r="A3" s="114" t="s">
        <v>1</v>
      </c>
      <c r="B3" s="114"/>
      <c r="C3" s="114"/>
      <c r="D3" s="114"/>
      <c r="E3" s="114"/>
      <c r="F3" s="114"/>
    </row>
    <row r="4" spans="1:6">
      <c r="A4" s="115" t="s">
        <v>2</v>
      </c>
      <c r="B4" s="115"/>
      <c r="C4" s="115"/>
      <c r="D4" s="115"/>
      <c r="E4" s="115"/>
      <c r="F4" s="115"/>
    </row>
    <row r="5" spans="1:6">
      <c r="A5" s="110"/>
      <c r="B5" s="110"/>
      <c r="C5" s="110"/>
      <c r="D5" s="110"/>
      <c r="E5" s="110"/>
      <c r="F5" s="110"/>
    </row>
    <row r="6" spans="1:6">
      <c r="A6" s="110"/>
      <c r="B6" s="110"/>
      <c r="C6" s="110"/>
      <c r="D6" s="110"/>
      <c r="E6" s="110"/>
      <c r="F6" s="110"/>
    </row>
    <row r="8" spans="1:6">
      <c r="A8" s="110"/>
      <c r="B8" s="110"/>
      <c r="C8" s="110"/>
      <c r="D8" s="110"/>
      <c r="E8" s="110"/>
      <c r="F8" s="110"/>
    </row>
    <row r="9" spans="1:6">
      <c r="A9" s="110"/>
      <c r="B9" s="110"/>
      <c r="C9" s="110"/>
      <c r="D9" s="110"/>
      <c r="E9" s="110"/>
      <c r="F9" s="110"/>
    </row>
    <row r="25" spans="3:4">
      <c r="C25" s="111"/>
      <c r="D25" s="111"/>
    </row>
    <row r="26" spans="3:4">
      <c r="C26" s="112" t="s">
        <v>3</v>
      </c>
      <c r="D26" s="112"/>
    </row>
  </sheetData>
  <mergeCells count="9">
    <mergeCell ref="A9:F9"/>
    <mergeCell ref="C25:D25"/>
    <mergeCell ref="C26:D26"/>
    <mergeCell ref="A2:F2"/>
    <mergeCell ref="A3:F3"/>
    <mergeCell ref="A4:F4"/>
    <mergeCell ref="A5:F5"/>
    <mergeCell ref="A6:F6"/>
    <mergeCell ref="A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96"/>
  <sheetViews>
    <sheetView showGridLines="0" showRowColHeaders="0" topLeftCell="B41" zoomScaleNormal="100" zoomScaleSheetLayoutView="130" workbookViewId="0">
      <selection activeCell="K19" sqref="K19"/>
    </sheetView>
  </sheetViews>
  <sheetFormatPr defaultRowHeight="15"/>
  <cols>
    <col min="1" max="1" width="6.140625" hidden="1" customWidth="1"/>
    <col min="2" max="2" width="18.5703125" customWidth="1"/>
    <col min="3" max="8" width="10" customWidth="1"/>
    <col min="9" max="9" width="11.5703125" customWidth="1"/>
    <col min="10" max="11" width="14.28515625" customWidth="1"/>
    <col min="12" max="12" width="4.5703125" customWidth="1"/>
    <col min="13" max="13" width="18.5703125" customWidth="1"/>
    <col min="14" max="19" width="10" customWidth="1"/>
    <col min="20" max="22" width="14.28515625" customWidth="1"/>
  </cols>
  <sheetData>
    <row r="2" spans="1:22" ht="25.5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3" spans="1:22" ht="20.25">
      <c r="B3" s="114" t="s">
        <v>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</row>
    <row r="4" spans="1:22">
      <c r="B4" s="115" t="s">
        <v>4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</row>
    <row r="5" spans="1:22">
      <c r="B5" s="110"/>
      <c r="C5" s="110"/>
      <c r="D5" s="110"/>
    </row>
    <row r="6" spans="1:22" ht="27.75" customHeight="1">
      <c r="B6" s="110"/>
      <c r="C6" s="110"/>
      <c r="D6" s="110"/>
      <c r="E6" s="4"/>
      <c r="F6" s="4"/>
      <c r="G6" s="4"/>
      <c r="H6" s="4"/>
      <c r="I6" s="4"/>
      <c r="J6" s="4"/>
      <c r="K6" s="4"/>
    </row>
    <row r="7" spans="1:22" ht="25.5" customHeight="1">
      <c r="A7" s="126" t="s">
        <v>5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</row>
    <row r="8" spans="1:22" ht="18">
      <c r="B8" s="2"/>
      <c r="C8" s="2"/>
      <c r="D8" s="2"/>
      <c r="E8" s="2"/>
      <c r="F8" s="2"/>
      <c r="G8" s="2"/>
      <c r="H8" s="2"/>
      <c r="I8" s="2"/>
      <c r="J8" s="2"/>
      <c r="K8" s="2"/>
    </row>
    <row r="9" spans="1:22" ht="20.25">
      <c r="B9" s="116" t="s">
        <v>6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</row>
    <row r="10" spans="1:22" ht="9.75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22" ht="18" customHeight="1">
      <c r="B11" s="117" t="s">
        <v>7</v>
      </c>
      <c r="C11" s="117"/>
      <c r="D11" s="117"/>
      <c r="E11" s="117"/>
      <c r="F11" s="117"/>
      <c r="G11" s="117"/>
      <c r="H11" s="117"/>
      <c r="I11" s="117"/>
      <c r="J11" s="117"/>
      <c r="K11" s="117"/>
      <c r="M11" s="117" t="s">
        <v>8</v>
      </c>
      <c r="N11" s="117"/>
      <c r="O11" s="117"/>
      <c r="P11" s="117"/>
      <c r="Q11" s="117"/>
      <c r="R11" s="117"/>
      <c r="S11" s="117"/>
      <c r="T11" s="117"/>
      <c r="U11" s="117"/>
      <c r="V11" s="117"/>
    </row>
    <row r="12" spans="1:22" ht="7.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>
      <c r="B13" s="118" t="s">
        <v>9</v>
      </c>
      <c r="C13" s="120" t="s">
        <v>10</v>
      </c>
      <c r="D13" s="121"/>
      <c r="E13" s="120" t="s">
        <v>11</v>
      </c>
      <c r="F13" s="121"/>
      <c r="G13" s="120" t="s">
        <v>12</v>
      </c>
      <c r="H13" s="121"/>
      <c r="I13" s="122" t="s">
        <v>13</v>
      </c>
      <c r="J13" s="122" t="s">
        <v>14</v>
      </c>
      <c r="K13" s="124" t="s">
        <v>15</v>
      </c>
      <c r="M13" s="118" t="s">
        <v>9</v>
      </c>
      <c r="N13" s="120" t="s">
        <v>10</v>
      </c>
      <c r="O13" s="121"/>
      <c r="P13" s="120" t="s">
        <v>11</v>
      </c>
      <c r="Q13" s="121"/>
      <c r="R13" s="120" t="s">
        <v>12</v>
      </c>
      <c r="S13" s="121"/>
      <c r="T13" s="122" t="s">
        <v>13</v>
      </c>
      <c r="U13" s="122" t="s">
        <v>14</v>
      </c>
      <c r="V13" s="124" t="s">
        <v>15</v>
      </c>
    </row>
    <row r="14" spans="1:22" ht="17.25" customHeight="1" thickBot="1">
      <c r="B14" s="119"/>
      <c r="C14" s="14" t="s">
        <v>16</v>
      </c>
      <c r="D14" s="27" t="s">
        <v>17</v>
      </c>
      <c r="E14" s="15" t="s">
        <v>16</v>
      </c>
      <c r="F14" s="28" t="s">
        <v>17</v>
      </c>
      <c r="G14" s="15" t="s">
        <v>16</v>
      </c>
      <c r="H14" s="28" t="s">
        <v>17</v>
      </c>
      <c r="I14" s="123"/>
      <c r="J14" s="123"/>
      <c r="K14" s="125"/>
      <c r="M14" s="119"/>
      <c r="N14" s="14" t="s">
        <v>16</v>
      </c>
      <c r="O14" s="27" t="s">
        <v>17</v>
      </c>
      <c r="P14" s="15" t="s">
        <v>16</v>
      </c>
      <c r="Q14" s="28" t="s">
        <v>17</v>
      </c>
      <c r="R14" s="15" t="s">
        <v>16</v>
      </c>
      <c r="S14" s="28" t="s">
        <v>17</v>
      </c>
      <c r="T14" s="123"/>
      <c r="U14" s="123"/>
      <c r="V14" s="125"/>
    </row>
    <row r="15" spans="1:22" s="3" customFormat="1" ht="21" customHeight="1" thickTop="1">
      <c r="B15" s="24">
        <v>1</v>
      </c>
      <c r="C15" s="12">
        <f>('[1]Production Number'!$G16/100)*100</f>
        <v>0.97</v>
      </c>
      <c r="D15" s="19">
        <f>_xlfn.RANK.AVG(C15,$C$15:$C$20)</f>
        <v>1</v>
      </c>
      <c r="E15" s="12">
        <f>('[2]Production Number'!$G16/100)*100</f>
        <v>0.85000000000000009</v>
      </c>
      <c r="F15" s="19">
        <f>_xlfn.RANK.AVG(E15,$E$15:$E$20)</f>
        <v>3</v>
      </c>
      <c r="G15" s="12">
        <f>('[3]Production Number'!$G16/100)*100</f>
        <v>0.86999999999999988</v>
      </c>
      <c r="H15" s="19">
        <f>_xlfn.RANK.AVG(G15,$G$15:$G$20)</f>
        <v>4.5</v>
      </c>
      <c r="I15" s="22">
        <f>(C15+E15+G15)/3*100</f>
        <v>89.666666666666657</v>
      </c>
      <c r="J15" s="21">
        <f>(D15+F15+H15)</f>
        <v>8.5</v>
      </c>
      <c r="K15" s="13">
        <f>_xlfn.RANK.AVG(J15,$J$15:$J$20,1)</f>
        <v>3</v>
      </c>
      <c r="M15" s="24">
        <v>1</v>
      </c>
      <c r="N15" s="12">
        <f>('[1]Production Number'!$O16/100)*100</f>
        <v>0.93999999999999984</v>
      </c>
      <c r="O15" s="19">
        <f>_xlfn.RANK.AVG(N15,$N$15:$N$20)</f>
        <v>3</v>
      </c>
      <c r="P15" s="12">
        <f>('[2]Production Number'!$O16/100)*100</f>
        <v>0.86999999999999988</v>
      </c>
      <c r="Q15" s="19">
        <f t="shared" ref="Q15:Q20" si="0">_xlfn.RANK.AVG(P15,P$15:P$20)</f>
        <v>2</v>
      </c>
      <c r="R15" s="12">
        <f>('[3]Production Number'!$O16/100)*100</f>
        <v>0.86</v>
      </c>
      <c r="S15" s="19">
        <f t="shared" ref="S15:S20" si="1">_xlfn.RANK.AVG(R15,R$15:R$20)</f>
        <v>5</v>
      </c>
      <c r="T15" s="22">
        <f>(N15+P15+R15)/3*100</f>
        <v>88.999999999999986</v>
      </c>
      <c r="U15" s="21">
        <f>(O15+Q15+S15)</f>
        <v>10</v>
      </c>
      <c r="V15" s="13">
        <f t="shared" ref="V15:V20" si="2">_xlfn.RANK.AVG(U15,U$15:U$20,1)</f>
        <v>3.5</v>
      </c>
    </row>
    <row r="16" spans="1:22" s="3" customFormat="1" ht="21" customHeight="1">
      <c r="B16" s="25">
        <v>2</v>
      </c>
      <c r="C16" s="16">
        <f>('[1]Production Number'!$G17/100)*100</f>
        <v>0.93999999999999984</v>
      </c>
      <c r="D16" s="20">
        <f>_xlfn.RANK.AVG(C16,C$15:C$20)</f>
        <v>5</v>
      </c>
      <c r="E16" s="16">
        <f>('[2]Production Number'!$G17/100)*100</f>
        <v>0.81999999999999984</v>
      </c>
      <c r="F16" s="20">
        <f>_xlfn.RANK.AVG(E16,E$15:E$20)</f>
        <v>6</v>
      </c>
      <c r="G16" s="16">
        <f>('[3]Production Number'!$G17/100)*100</f>
        <v>0.86999999999999988</v>
      </c>
      <c r="H16" s="20">
        <f>_xlfn.RANK.AVG(G16,G$15:G$20)</f>
        <v>4.5</v>
      </c>
      <c r="I16" s="23">
        <f>(C16+E16+G16)/3*100</f>
        <v>87.666666666666657</v>
      </c>
      <c r="J16" s="102">
        <f>(D16+F16+H16)</f>
        <v>15.5</v>
      </c>
      <c r="K16" s="17">
        <f>_xlfn.RANK.AVG(J16,J$15:J$20,1)</f>
        <v>6</v>
      </c>
      <c r="M16" s="25">
        <v>2</v>
      </c>
      <c r="N16" s="16">
        <f>('[1]Production Number'!$O17/100)*100</f>
        <v>0.93</v>
      </c>
      <c r="O16" s="20">
        <f>_xlfn.RANK.AVG(N16,N$15:N$20)</f>
        <v>5.5</v>
      </c>
      <c r="P16" s="16">
        <f>('[2]Production Number'!$O17/100)*100</f>
        <v>0.84</v>
      </c>
      <c r="Q16" s="20">
        <f t="shared" si="0"/>
        <v>3.5</v>
      </c>
      <c r="R16" s="16">
        <f>('[3]Production Number'!$O17/100)*100</f>
        <v>0.91999999999999993</v>
      </c>
      <c r="S16" s="20">
        <f t="shared" si="1"/>
        <v>1</v>
      </c>
      <c r="T16" s="23">
        <f>(N16+P16+R16)/3*100</f>
        <v>89.666666666666657</v>
      </c>
      <c r="U16" s="102">
        <f>(O16+Q16+S16)</f>
        <v>10</v>
      </c>
      <c r="V16" s="17">
        <f t="shared" si="2"/>
        <v>3.5</v>
      </c>
    </row>
    <row r="17" spans="1:22" s="3" customFormat="1" ht="21" customHeight="1">
      <c r="B17" s="25">
        <v>3</v>
      </c>
      <c r="C17" s="16">
        <f>('[1]Production Number'!$G18/100)*100</f>
        <v>0.95</v>
      </c>
      <c r="D17" s="20">
        <f>_xlfn.RANK.AVG(C17,C$15:C$20)</f>
        <v>3</v>
      </c>
      <c r="E17" s="16">
        <f>('[2]Production Number'!$G18/100)*100</f>
        <v>0.85000000000000009</v>
      </c>
      <c r="F17" s="20">
        <f>_xlfn.RANK.AVG(E17,E$15:E$20)</f>
        <v>3</v>
      </c>
      <c r="G17" s="16">
        <f>('[3]Production Number'!$G18/100)*100</f>
        <v>0.93999999999999984</v>
      </c>
      <c r="H17" s="20">
        <f>_xlfn.RANK.AVG(G17,G$15:G$20)</f>
        <v>1</v>
      </c>
      <c r="I17" s="23">
        <f t="shared" ref="I17:I20" si="3">(C17+E17+G17)/3*100</f>
        <v>91.333333333333329</v>
      </c>
      <c r="J17" s="102">
        <f t="shared" ref="J17:J20" si="4">(D17+F17+H17)</f>
        <v>7</v>
      </c>
      <c r="K17" s="17">
        <f>_xlfn.RANK.AVG(J17,J$15:J$20,1)</f>
        <v>1.5</v>
      </c>
      <c r="M17" s="25">
        <v>3</v>
      </c>
      <c r="N17" s="16">
        <f>('[1]Production Number'!$O18/100)*100</f>
        <v>0.93</v>
      </c>
      <c r="O17" s="20">
        <f>_xlfn.RANK.AVG(N17,N$15:N$20)</f>
        <v>5.5</v>
      </c>
      <c r="P17" s="16">
        <f>('[2]Production Number'!$O18/100)*100</f>
        <v>0.83</v>
      </c>
      <c r="Q17" s="20">
        <f t="shared" si="0"/>
        <v>5</v>
      </c>
      <c r="R17" s="16">
        <f>('[3]Production Number'!$O18/100)*100</f>
        <v>0.86</v>
      </c>
      <c r="S17" s="20">
        <f t="shared" si="1"/>
        <v>5</v>
      </c>
      <c r="T17" s="23">
        <f t="shared" ref="T17:T20" si="5">(N17+P17+R17)/3*100</f>
        <v>87.333333333333343</v>
      </c>
      <c r="U17" s="102">
        <f t="shared" ref="U17:U20" si="6">(O17+Q17+S17)</f>
        <v>15.5</v>
      </c>
      <c r="V17" s="17">
        <f t="shared" si="2"/>
        <v>6</v>
      </c>
    </row>
    <row r="18" spans="1:22" s="3" customFormat="1" ht="21" customHeight="1">
      <c r="B18" s="25">
        <v>4</v>
      </c>
      <c r="C18" s="16">
        <f>('[1]Production Number'!$G19/100)*100</f>
        <v>0.95</v>
      </c>
      <c r="D18" s="20">
        <f>_xlfn.RANK.AVG(C18,C$15:C$20)</f>
        <v>3</v>
      </c>
      <c r="E18" s="16">
        <f>('[2]Production Number'!$G19/100)*100</f>
        <v>0.91</v>
      </c>
      <c r="F18" s="20">
        <f>_xlfn.RANK.AVG(E18,E$15:E$20)</f>
        <v>1</v>
      </c>
      <c r="G18" s="16">
        <f>('[3]Production Number'!$G19/100)*100</f>
        <v>0.88</v>
      </c>
      <c r="H18" s="20">
        <f>_xlfn.RANK.AVG(G18,G$15:G$20)</f>
        <v>3</v>
      </c>
      <c r="I18" s="23">
        <f t="shared" si="3"/>
        <v>91.333333333333329</v>
      </c>
      <c r="J18" s="102">
        <f t="shared" si="4"/>
        <v>7</v>
      </c>
      <c r="K18" s="17">
        <v>1</v>
      </c>
      <c r="M18" s="25">
        <v>4</v>
      </c>
      <c r="N18" s="16">
        <f>('[1]Production Number'!$O19/100)*100</f>
        <v>0.96</v>
      </c>
      <c r="O18" s="20">
        <f>_xlfn.RANK.AVG(N18,N$15:N$20)</f>
        <v>1</v>
      </c>
      <c r="P18" s="16">
        <f>('[2]Production Number'!$O19/100)*100</f>
        <v>0.84</v>
      </c>
      <c r="Q18" s="20">
        <f t="shared" si="0"/>
        <v>3.5</v>
      </c>
      <c r="R18" s="16">
        <f>('[3]Production Number'!$O19/100)*100</f>
        <v>0.86</v>
      </c>
      <c r="S18" s="20">
        <f t="shared" si="1"/>
        <v>5</v>
      </c>
      <c r="T18" s="23">
        <f t="shared" si="5"/>
        <v>88.666666666666657</v>
      </c>
      <c r="U18" s="102">
        <f t="shared" si="6"/>
        <v>9.5</v>
      </c>
      <c r="V18" s="17">
        <f t="shared" si="2"/>
        <v>2</v>
      </c>
    </row>
    <row r="19" spans="1:22" s="3" customFormat="1" ht="21" customHeight="1">
      <c r="B19" s="25">
        <v>5</v>
      </c>
      <c r="C19" s="16">
        <f>('[1]Production Number'!$G20/100)*100</f>
        <v>0.91999999999999993</v>
      </c>
      <c r="D19" s="20">
        <f>_xlfn.RANK.AVG(C19,C$15:C$20)</f>
        <v>6</v>
      </c>
      <c r="E19" s="16">
        <f>('[2]Production Number'!$G20/100)*100</f>
        <v>0.85000000000000009</v>
      </c>
      <c r="F19" s="20">
        <f>_xlfn.RANK.AVG(E19,E$15:E$20)</f>
        <v>3</v>
      </c>
      <c r="G19" s="16">
        <f>('[3]Production Number'!$G20/100)*100</f>
        <v>0.90000000000000013</v>
      </c>
      <c r="H19" s="20">
        <f>_xlfn.RANK.AVG(G19,G$15:G$20)</f>
        <v>2</v>
      </c>
      <c r="I19" s="23">
        <f t="shared" si="3"/>
        <v>89</v>
      </c>
      <c r="J19" s="102">
        <f t="shared" si="4"/>
        <v>11</v>
      </c>
      <c r="K19" s="17">
        <f>_xlfn.RANK.AVG(J19,J$15:J$20,1)</f>
        <v>4</v>
      </c>
      <c r="M19" s="25">
        <v>5</v>
      </c>
      <c r="N19" s="16">
        <f>('[1]Production Number'!$O20/100)*100</f>
        <v>0.93999999999999984</v>
      </c>
      <c r="O19" s="20">
        <f>_xlfn.RANK.AVG(N19,N$15:N$20)</f>
        <v>3</v>
      </c>
      <c r="P19" s="16">
        <f>('[2]Production Number'!$O20/100)*100</f>
        <v>0.88</v>
      </c>
      <c r="Q19" s="20">
        <f t="shared" si="0"/>
        <v>1</v>
      </c>
      <c r="R19" s="16">
        <f>('[3]Production Number'!$O20/100)*100</f>
        <v>0.91</v>
      </c>
      <c r="S19" s="20">
        <f t="shared" si="1"/>
        <v>2</v>
      </c>
      <c r="T19" s="23">
        <f t="shared" si="5"/>
        <v>91</v>
      </c>
      <c r="U19" s="102">
        <f t="shared" si="6"/>
        <v>6</v>
      </c>
      <c r="V19" s="17">
        <f t="shared" si="2"/>
        <v>1</v>
      </c>
    </row>
    <row r="20" spans="1:22" s="3" customFormat="1" ht="21" customHeight="1" thickBot="1">
      <c r="A20" s="18"/>
      <c r="B20" s="26">
        <v>6</v>
      </c>
      <c r="C20" s="34">
        <f>('[1]Production Number'!$G21/100)*100</f>
        <v>0.95</v>
      </c>
      <c r="D20" s="31">
        <f>_xlfn.RANK.AVG(C20,C$15:C$20)</f>
        <v>3</v>
      </c>
      <c r="E20" s="34">
        <f>('[2]Production Number'!$G21/100)*100</f>
        <v>0.84</v>
      </c>
      <c r="F20" s="31">
        <f>_xlfn.RANK.AVG(E20,E$15:E$20)</f>
        <v>5</v>
      </c>
      <c r="G20" s="34">
        <f>('[3]Production Number'!$G21/100)*100</f>
        <v>0.79</v>
      </c>
      <c r="H20" s="31">
        <f>_xlfn.RANK.AVG(G20,G$15:G$20)</f>
        <v>6</v>
      </c>
      <c r="I20" s="32">
        <f t="shared" si="3"/>
        <v>86</v>
      </c>
      <c r="J20" s="97">
        <f t="shared" si="4"/>
        <v>14</v>
      </c>
      <c r="K20" s="33">
        <f>_xlfn.RANK.AVG(J20,J$15:J$20,1)</f>
        <v>5</v>
      </c>
      <c r="M20" s="29">
        <v>6</v>
      </c>
      <c r="N20" s="30">
        <f>('[1]Production Number'!$O21/100)*100</f>
        <v>0.93999999999999984</v>
      </c>
      <c r="O20" s="31">
        <f>_xlfn.RANK.AVG(N20,N$15:N$20)</f>
        <v>3</v>
      </c>
      <c r="P20" s="30">
        <f>('[2]Production Number'!$O21/100)*100</f>
        <v>0.81999999999999984</v>
      </c>
      <c r="Q20" s="31">
        <f t="shared" si="0"/>
        <v>6</v>
      </c>
      <c r="R20" s="30">
        <f>('[3]Production Number'!$O21/100)*100</f>
        <v>0.90000000000000013</v>
      </c>
      <c r="S20" s="31">
        <f t="shared" si="1"/>
        <v>3</v>
      </c>
      <c r="T20" s="32">
        <f t="shared" si="5"/>
        <v>88.666666666666671</v>
      </c>
      <c r="U20" s="97">
        <f t="shared" si="6"/>
        <v>12</v>
      </c>
      <c r="V20" s="33">
        <f t="shared" si="2"/>
        <v>5</v>
      </c>
    </row>
    <row r="21" spans="1:22" s="3" customFormat="1" ht="21" customHeight="1">
      <c r="B21" s="71"/>
      <c r="C21" s="72"/>
      <c r="D21" s="73"/>
      <c r="E21" s="72"/>
      <c r="F21" s="73"/>
      <c r="G21" s="72"/>
      <c r="H21" s="73"/>
      <c r="I21" s="74"/>
      <c r="J21" s="74"/>
      <c r="K21" s="75"/>
    </row>
    <row r="22" spans="1:22" ht="20.25">
      <c r="B22" s="116" t="s">
        <v>18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</row>
    <row r="23" spans="1:22" ht="9.75" customHeight="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22" ht="18" customHeight="1">
      <c r="B24" s="117" t="s">
        <v>7</v>
      </c>
      <c r="C24" s="117"/>
      <c r="D24" s="117"/>
      <c r="E24" s="117"/>
      <c r="F24" s="117"/>
      <c r="G24" s="117"/>
      <c r="H24" s="117"/>
      <c r="I24" s="117"/>
      <c r="J24" s="117"/>
      <c r="K24" s="117"/>
      <c r="M24" s="117" t="s">
        <v>8</v>
      </c>
      <c r="N24" s="117"/>
      <c r="O24" s="117"/>
      <c r="P24" s="117"/>
      <c r="Q24" s="117"/>
      <c r="R24" s="117"/>
      <c r="S24" s="117"/>
      <c r="T24" s="117"/>
      <c r="U24" s="117"/>
      <c r="V24" s="117"/>
    </row>
    <row r="25" spans="1:22" ht="7.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.75" customHeight="1">
      <c r="B26" s="118" t="s">
        <v>9</v>
      </c>
      <c r="C26" s="120" t="s">
        <v>10</v>
      </c>
      <c r="D26" s="121"/>
      <c r="E26" s="120" t="s">
        <v>11</v>
      </c>
      <c r="F26" s="121"/>
      <c r="G26" s="120" t="s">
        <v>12</v>
      </c>
      <c r="H26" s="121"/>
      <c r="I26" s="122" t="s">
        <v>13</v>
      </c>
      <c r="J26" s="122" t="s">
        <v>14</v>
      </c>
      <c r="K26" s="124" t="s">
        <v>15</v>
      </c>
      <c r="M26" s="118" t="s">
        <v>9</v>
      </c>
      <c r="N26" s="120" t="s">
        <v>10</v>
      </c>
      <c r="O26" s="121"/>
      <c r="P26" s="120" t="s">
        <v>11</v>
      </c>
      <c r="Q26" s="121"/>
      <c r="R26" s="120" t="s">
        <v>12</v>
      </c>
      <c r="S26" s="121"/>
      <c r="T26" s="122" t="s">
        <v>13</v>
      </c>
      <c r="U26" s="122" t="s">
        <v>14</v>
      </c>
      <c r="V26" s="124" t="s">
        <v>15</v>
      </c>
    </row>
    <row r="27" spans="1:22" ht="17.25" customHeight="1" thickBot="1">
      <c r="B27" s="119"/>
      <c r="C27" s="14" t="s">
        <v>16</v>
      </c>
      <c r="D27" s="27" t="s">
        <v>17</v>
      </c>
      <c r="E27" s="15" t="s">
        <v>16</v>
      </c>
      <c r="F27" s="28" t="s">
        <v>17</v>
      </c>
      <c r="G27" s="15" t="s">
        <v>16</v>
      </c>
      <c r="H27" s="28" t="s">
        <v>17</v>
      </c>
      <c r="I27" s="123"/>
      <c r="J27" s="123"/>
      <c r="K27" s="125"/>
      <c r="M27" s="119"/>
      <c r="N27" s="14" t="s">
        <v>16</v>
      </c>
      <c r="O27" s="27" t="s">
        <v>17</v>
      </c>
      <c r="P27" s="15" t="s">
        <v>16</v>
      </c>
      <c r="Q27" s="28" t="s">
        <v>17</v>
      </c>
      <c r="R27" s="15" t="s">
        <v>16</v>
      </c>
      <c r="S27" s="28" t="s">
        <v>17</v>
      </c>
      <c r="T27" s="123"/>
      <c r="U27" s="123"/>
      <c r="V27" s="125"/>
    </row>
    <row r="28" spans="1:22" s="3" customFormat="1" ht="21" customHeight="1" thickTop="1">
      <c r="B28" s="24">
        <v>1</v>
      </c>
      <c r="C28" s="12" t="e">
        <f>(#REF!/100)*100</f>
        <v>#REF!</v>
      </c>
      <c r="D28" s="19" t="e">
        <f>_xlfn.RANK.AVG(C28,$C$28:$C$33)</f>
        <v>#REF!</v>
      </c>
      <c r="E28" s="12">
        <f>('[2]Tropical Attire'!$G16/100)*100</f>
        <v>0.85000000000000009</v>
      </c>
      <c r="F28" s="19">
        <f t="shared" ref="F28:F33" si="7">_xlfn.RANK.AVG(E28,E$28:E$33)</f>
        <v>5</v>
      </c>
      <c r="G28" s="12">
        <f>('[3]Tropical Attire'!$G16/100)*100</f>
        <v>0.91</v>
      </c>
      <c r="H28" s="19">
        <f t="shared" ref="H28:H33" si="8">_xlfn.RANK.AVG(G28,G$28:G$33)</f>
        <v>4</v>
      </c>
      <c r="I28" s="22" t="e">
        <f>(C28+E28+G28)/3*100</f>
        <v>#REF!</v>
      </c>
      <c r="J28" s="22" t="e">
        <f t="shared" ref="J28:J29" si="9">(D28+F28+H28)</f>
        <v>#REF!</v>
      </c>
      <c r="K28" s="13" t="e">
        <f t="shared" ref="K28:K33" si="10">_xlfn.RANK.AVG(J28,J$28:J$33,1)</f>
        <v>#REF!</v>
      </c>
      <c r="M28" s="24">
        <v>1</v>
      </c>
      <c r="N28" s="12" t="e">
        <f>(#REF!/100)*100</f>
        <v>#REF!</v>
      </c>
      <c r="O28" s="19" t="e">
        <f>_xlfn.RANK.AVG(N28,$N28:$N33)</f>
        <v>#REF!</v>
      </c>
      <c r="P28" s="12">
        <f>('[2]Tropical Attire'!$O16/100)*100</f>
        <v>0.89</v>
      </c>
      <c r="Q28" s="19">
        <f t="shared" ref="Q28:Q33" si="11">_xlfn.RANK.AVG(P28,P$28:P$33)</f>
        <v>2</v>
      </c>
      <c r="R28" s="12">
        <f>('[3]Tropical Attire'!$O16/100)*100</f>
        <v>0.89</v>
      </c>
      <c r="S28" s="19">
        <f t="shared" ref="S28:S33" si="12">_xlfn.RANK.AVG(R28,R$28:R$33)</f>
        <v>3.5</v>
      </c>
      <c r="T28" s="22" t="e">
        <f t="shared" ref="T28:T33" si="13">(N28+P28+R28)/3*100</f>
        <v>#REF!</v>
      </c>
      <c r="U28" s="21" t="e">
        <f>(O28+Q28+S28)</f>
        <v>#REF!</v>
      </c>
      <c r="V28" s="13" t="e">
        <f t="shared" ref="V28:V33" si="14">_xlfn.RANK.AVG(U28,U$28:U$33,1)</f>
        <v>#REF!</v>
      </c>
    </row>
    <row r="29" spans="1:22" s="3" customFormat="1" ht="21" customHeight="1">
      <c r="B29" s="25">
        <v>2</v>
      </c>
      <c r="C29" s="16" t="e">
        <f>(#REF!/100)*100</f>
        <v>#REF!</v>
      </c>
      <c r="D29" s="20" t="e">
        <f>_xlfn.RANK.AVG(C29,C$28:C$33)</f>
        <v>#REF!</v>
      </c>
      <c r="E29" s="16">
        <f>('[2]Tropical Attire'!$G17/100)*100</f>
        <v>0.93</v>
      </c>
      <c r="F29" s="20">
        <f t="shared" si="7"/>
        <v>1</v>
      </c>
      <c r="G29" s="16">
        <f>('[3]Tropical Attire'!$G17/100)*100</f>
        <v>0.86999999999999988</v>
      </c>
      <c r="H29" s="20">
        <f t="shared" si="8"/>
        <v>6</v>
      </c>
      <c r="I29" s="23" t="e">
        <f t="shared" ref="I29" si="15">(C29+E29+G29)/3*100</f>
        <v>#REF!</v>
      </c>
      <c r="J29" s="44" t="e">
        <f t="shared" si="9"/>
        <v>#REF!</v>
      </c>
      <c r="K29" s="17" t="e">
        <f t="shared" si="10"/>
        <v>#REF!</v>
      </c>
      <c r="M29" s="25">
        <v>2</v>
      </c>
      <c r="N29" s="16" t="e">
        <f>(#REF!/100)*100</f>
        <v>#REF!</v>
      </c>
      <c r="O29" s="20" t="e">
        <f>_xlfn.RANK.AVG(N29,N$28:N$33)</f>
        <v>#REF!</v>
      </c>
      <c r="P29" s="16">
        <f>('[2]Tropical Attire'!$O17/100)*100</f>
        <v>0.91999999999999993</v>
      </c>
      <c r="Q29" s="20">
        <f t="shared" si="11"/>
        <v>1</v>
      </c>
      <c r="R29" s="16">
        <f>('[3]Tropical Attire'!$O17/100)*100</f>
        <v>0.91999999999999993</v>
      </c>
      <c r="S29" s="20">
        <f t="shared" si="12"/>
        <v>1</v>
      </c>
      <c r="T29" s="23" t="e">
        <f t="shared" si="13"/>
        <v>#REF!</v>
      </c>
      <c r="U29" s="102" t="e">
        <f t="shared" ref="U29:U33" si="16">(O29+Q29+S29)</f>
        <v>#REF!</v>
      </c>
      <c r="V29" s="17" t="e">
        <f t="shared" si="14"/>
        <v>#REF!</v>
      </c>
    </row>
    <row r="30" spans="1:22" s="3" customFormat="1" ht="21" customHeight="1">
      <c r="B30" s="25">
        <v>3</v>
      </c>
      <c r="C30" s="16" t="e">
        <f>(#REF!/100)*100</f>
        <v>#REF!</v>
      </c>
      <c r="D30" s="20" t="e">
        <f>_xlfn.RANK.AVG(C30,$C$28:$C$33)</f>
        <v>#REF!</v>
      </c>
      <c r="E30" s="16">
        <f>('[2]Tropical Attire'!$G18/100)*100</f>
        <v>0.84</v>
      </c>
      <c r="F30" s="20">
        <f t="shared" si="7"/>
        <v>6</v>
      </c>
      <c r="G30" s="16">
        <f>('[3]Tropical Attire'!$G18/100)*100</f>
        <v>0.93</v>
      </c>
      <c r="H30" s="20">
        <f t="shared" si="8"/>
        <v>2</v>
      </c>
      <c r="I30" s="23" t="e">
        <f t="shared" ref="I30:I33" si="17">(C30+E30+G30)/3*100</f>
        <v>#REF!</v>
      </c>
      <c r="J30" s="44" t="e">
        <f t="shared" ref="J30:J33" si="18">(D30+F30+H30)</f>
        <v>#REF!</v>
      </c>
      <c r="K30" s="17" t="e">
        <f t="shared" si="10"/>
        <v>#REF!</v>
      </c>
      <c r="M30" s="25">
        <v>3</v>
      </c>
      <c r="N30" s="16" t="e">
        <f>(#REF!/100)*100</f>
        <v>#REF!</v>
      </c>
      <c r="O30" s="20" t="e">
        <f>_xlfn.RANK.AVG(N30,N$28:N$33)</f>
        <v>#REF!</v>
      </c>
      <c r="P30" s="16">
        <f>('[2]Tropical Attire'!$O18/100)*100</f>
        <v>0.85000000000000009</v>
      </c>
      <c r="Q30" s="20">
        <f t="shared" si="11"/>
        <v>6</v>
      </c>
      <c r="R30" s="16">
        <f>('[3]Tropical Attire'!$O18/100)*100</f>
        <v>0.86999999999999988</v>
      </c>
      <c r="S30" s="20">
        <f t="shared" si="12"/>
        <v>6</v>
      </c>
      <c r="T30" s="23" t="e">
        <f t="shared" si="13"/>
        <v>#REF!</v>
      </c>
      <c r="U30" s="102" t="e">
        <f t="shared" si="16"/>
        <v>#REF!</v>
      </c>
      <c r="V30" s="17" t="e">
        <f t="shared" si="14"/>
        <v>#REF!</v>
      </c>
    </row>
    <row r="31" spans="1:22" s="3" customFormat="1" ht="21" customHeight="1">
      <c r="B31" s="25">
        <v>4</v>
      </c>
      <c r="C31" s="16" t="e">
        <f>(#REF!/100)*100</f>
        <v>#REF!</v>
      </c>
      <c r="D31" s="20" t="e">
        <f>_xlfn.RANK.AVG(C31,$C$28:$C$33)</f>
        <v>#REF!</v>
      </c>
      <c r="E31" s="16">
        <f>('[2]Tropical Attire'!$G19/100)*100</f>
        <v>0.86</v>
      </c>
      <c r="F31" s="20">
        <f t="shared" si="7"/>
        <v>4</v>
      </c>
      <c r="G31" s="16">
        <f>('[3]Tropical Attire'!$G19/100)*100</f>
        <v>0.89</v>
      </c>
      <c r="H31" s="20">
        <f t="shared" si="8"/>
        <v>5</v>
      </c>
      <c r="I31" s="23" t="e">
        <f t="shared" si="17"/>
        <v>#REF!</v>
      </c>
      <c r="J31" s="44" t="e">
        <f t="shared" si="18"/>
        <v>#REF!</v>
      </c>
      <c r="K31" s="17" t="e">
        <f t="shared" si="10"/>
        <v>#REF!</v>
      </c>
      <c r="M31" s="25">
        <v>4</v>
      </c>
      <c r="N31" s="16" t="e">
        <f>(#REF!/100)*100</f>
        <v>#REF!</v>
      </c>
      <c r="O31" s="20" t="e">
        <f>_xlfn.RANK.AVG(N31,N$28:N$33)</f>
        <v>#REF!</v>
      </c>
      <c r="P31" s="16">
        <f>('[2]Tropical Attire'!$O19/100)*100</f>
        <v>0.88</v>
      </c>
      <c r="Q31" s="20">
        <f t="shared" si="11"/>
        <v>4</v>
      </c>
      <c r="R31" s="16">
        <f>('[3]Tropical Attire'!$O19/100)*100</f>
        <v>0.89</v>
      </c>
      <c r="S31" s="20">
        <f t="shared" si="12"/>
        <v>3.5</v>
      </c>
      <c r="T31" s="23" t="e">
        <f t="shared" si="13"/>
        <v>#REF!</v>
      </c>
      <c r="U31" s="102" t="e">
        <f t="shared" si="16"/>
        <v>#REF!</v>
      </c>
      <c r="V31" s="17" t="e">
        <f t="shared" si="14"/>
        <v>#REF!</v>
      </c>
    </row>
    <row r="32" spans="1:22" s="3" customFormat="1" ht="21" customHeight="1">
      <c r="B32" s="25">
        <v>5</v>
      </c>
      <c r="C32" s="16" t="e">
        <f>(#REF!/100)*100</f>
        <v>#REF!</v>
      </c>
      <c r="D32" s="20" t="e">
        <f>_xlfn.RANK.AVG(C32,$C$28:$C$33)</f>
        <v>#REF!</v>
      </c>
      <c r="E32" s="16">
        <f>('[2]Tropical Attire'!$G20/100)*100</f>
        <v>0.86999999999999988</v>
      </c>
      <c r="F32" s="20">
        <f t="shared" si="7"/>
        <v>3</v>
      </c>
      <c r="G32" s="16">
        <f>('[3]Tropical Attire'!$G20/100)*100</f>
        <v>0.93999999999999984</v>
      </c>
      <c r="H32" s="20">
        <f t="shared" si="8"/>
        <v>1</v>
      </c>
      <c r="I32" s="23" t="e">
        <f t="shared" si="17"/>
        <v>#REF!</v>
      </c>
      <c r="J32" s="44" t="e">
        <f t="shared" si="18"/>
        <v>#REF!</v>
      </c>
      <c r="K32" s="17" t="e">
        <f t="shared" si="10"/>
        <v>#REF!</v>
      </c>
      <c r="M32" s="25">
        <v>5</v>
      </c>
      <c r="N32" s="16" t="e">
        <f>(#REF!/100)*100</f>
        <v>#REF!</v>
      </c>
      <c r="O32" s="20" t="e">
        <f>_xlfn.RANK.AVG(N32,N$28:N$33)</f>
        <v>#REF!</v>
      </c>
      <c r="P32" s="16">
        <f>('[2]Tropical Attire'!$O20/100)*100</f>
        <v>0.88</v>
      </c>
      <c r="Q32" s="20">
        <f t="shared" si="11"/>
        <v>4</v>
      </c>
      <c r="R32" s="16">
        <f>('[3]Tropical Attire'!$O20/100)*100</f>
        <v>0.90000000000000013</v>
      </c>
      <c r="S32" s="20">
        <f t="shared" si="12"/>
        <v>2</v>
      </c>
      <c r="T32" s="23" t="e">
        <f t="shared" si="13"/>
        <v>#REF!</v>
      </c>
      <c r="U32" s="102" t="e">
        <f t="shared" si="16"/>
        <v>#REF!</v>
      </c>
      <c r="V32" s="17" t="e">
        <f t="shared" si="14"/>
        <v>#REF!</v>
      </c>
    </row>
    <row r="33" spans="1:22" s="3" customFormat="1" ht="21" customHeight="1" thickBot="1">
      <c r="A33" s="18"/>
      <c r="B33" s="29">
        <v>6</v>
      </c>
      <c r="C33" s="30" t="e">
        <f>(#REF!/100)*100</f>
        <v>#REF!</v>
      </c>
      <c r="D33" s="31" t="e">
        <f>_xlfn.RANK.AVG(C33,$C$28:$C$33)</f>
        <v>#REF!</v>
      </c>
      <c r="E33" s="30">
        <f>('[2]Tropical Attire'!$G21/100)*100</f>
        <v>0.90000000000000013</v>
      </c>
      <c r="F33" s="31">
        <f t="shared" si="7"/>
        <v>2</v>
      </c>
      <c r="G33" s="30">
        <f>('[3]Tropical Attire'!$G21/100)*100</f>
        <v>0.91999999999999993</v>
      </c>
      <c r="H33" s="31">
        <f t="shared" si="8"/>
        <v>3</v>
      </c>
      <c r="I33" s="32" t="e">
        <f t="shared" si="17"/>
        <v>#REF!</v>
      </c>
      <c r="J33" s="45" t="e">
        <f t="shared" si="18"/>
        <v>#REF!</v>
      </c>
      <c r="K33" s="33" t="e">
        <f t="shared" si="10"/>
        <v>#REF!</v>
      </c>
      <c r="M33" s="29">
        <v>6</v>
      </c>
      <c r="N33" s="30" t="e">
        <f>(#REF!/100)*100</f>
        <v>#REF!</v>
      </c>
      <c r="O33" s="31" t="e">
        <f>_xlfn.RANK.AVG(N33,N$28:N$33)</f>
        <v>#REF!</v>
      </c>
      <c r="P33" s="30">
        <f>('[2]Tropical Attire'!$O21/100)*100</f>
        <v>0.88</v>
      </c>
      <c r="Q33" s="31">
        <f t="shared" si="11"/>
        <v>4</v>
      </c>
      <c r="R33" s="30">
        <f>('[3]Tropical Attire'!$O21/100)*100</f>
        <v>0.88</v>
      </c>
      <c r="S33" s="31">
        <f t="shared" si="12"/>
        <v>5</v>
      </c>
      <c r="T33" s="32" t="e">
        <f t="shared" si="13"/>
        <v>#REF!</v>
      </c>
      <c r="U33" s="97" t="e">
        <f t="shared" si="16"/>
        <v>#REF!</v>
      </c>
      <c r="V33" s="33" t="e">
        <f t="shared" si="14"/>
        <v>#REF!</v>
      </c>
    </row>
    <row r="34" spans="1:22" s="3" customFormat="1" ht="21" customHeight="1">
      <c r="B34" s="71"/>
      <c r="C34" s="5"/>
      <c r="D34" s="5"/>
      <c r="E34" s="5"/>
      <c r="F34" s="5"/>
      <c r="G34" s="5"/>
      <c r="H34"/>
      <c r="I34" s="74"/>
      <c r="J34" s="74"/>
      <c r="K34" s="75"/>
    </row>
    <row r="35" spans="1:22" ht="20.25">
      <c r="B35" s="116" t="s">
        <v>19</v>
      </c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</row>
    <row r="36" spans="1:22" ht="9.75" customHeight="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22" ht="18" customHeight="1">
      <c r="B37" s="117" t="s">
        <v>7</v>
      </c>
      <c r="C37" s="117"/>
      <c r="D37" s="117"/>
      <c r="E37" s="117"/>
      <c r="F37" s="117"/>
      <c r="G37" s="117"/>
      <c r="H37" s="117"/>
      <c r="I37" s="117"/>
      <c r="J37" s="117"/>
      <c r="K37" s="117"/>
      <c r="M37" s="117" t="s">
        <v>8</v>
      </c>
      <c r="N37" s="117"/>
      <c r="O37" s="117"/>
      <c r="P37" s="117"/>
      <c r="Q37" s="117"/>
      <c r="R37" s="117"/>
      <c r="S37" s="117"/>
      <c r="T37" s="117"/>
      <c r="U37" s="117"/>
      <c r="V37" s="117"/>
    </row>
    <row r="38" spans="1:22" ht="7.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.75" customHeight="1">
      <c r="B39" s="118" t="s">
        <v>9</v>
      </c>
      <c r="C39" s="120" t="s">
        <v>10</v>
      </c>
      <c r="D39" s="121"/>
      <c r="E39" s="120" t="s">
        <v>11</v>
      </c>
      <c r="F39" s="121"/>
      <c r="G39" s="120" t="s">
        <v>12</v>
      </c>
      <c r="H39" s="121"/>
      <c r="I39" s="122" t="s">
        <v>13</v>
      </c>
      <c r="J39" s="122" t="s">
        <v>14</v>
      </c>
      <c r="K39" s="124" t="s">
        <v>15</v>
      </c>
      <c r="M39" s="118" t="s">
        <v>9</v>
      </c>
      <c r="N39" s="120" t="s">
        <v>10</v>
      </c>
      <c r="O39" s="121"/>
      <c r="P39" s="120" t="s">
        <v>11</v>
      </c>
      <c r="Q39" s="121"/>
      <c r="R39" s="120" t="s">
        <v>12</v>
      </c>
      <c r="S39" s="121"/>
      <c r="T39" s="122" t="s">
        <v>13</v>
      </c>
      <c r="U39" s="122" t="s">
        <v>14</v>
      </c>
      <c r="V39" s="124" t="s">
        <v>15</v>
      </c>
    </row>
    <row r="40" spans="1:22" ht="17.25" customHeight="1" thickBot="1">
      <c r="B40" s="119"/>
      <c r="C40" s="14" t="s">
        <v>16</v>
      </c>
      <c r="D40" s="27" t="s">
        <v>17</v>
      </c>
      <c r="E40" s="15" t="s">
        <v>16</v>
      </c>
      <c r="F40" s="28" t="s">
        <v>17</v>
      </c>
      <c r="G40" s="15" t="s">
        <v>16</v>
      </c>
      <c r="H40" s="28" t="s">
        <v>17</v>
      </c>
      <c r="I40" s="123"/>
      <c r="J40" s="123"/>
      <c r="K40" s="125"/>
      <c r="M40" s="119"/>
      <c r="N40" s="14" t="s">
        <v>16</v>
      </c>
      <c r="O40" s="27" t="s">
        <v>17</v>
      </c>
      <c r="P40" s="15" t="s">
        <v>16</v>
      </c>
      <c r="Q40" s="28" t="s">
        <v>17</v>
      </c>
      <c r="R40" s="15" t="s">
        <v>16</v>
      </c>
      <c r="S40" s="28" t="s">
        <v>17</v>
      </c>
      <c r="T40" s="123"/>
      <c r="U40" s="123"/>
      <c r="V40" s="125"/>
    </row>
    <row r="41" spans="1:22" s="3" customFormat="1" ht="21" customHeight="1" thickTop="1">
      <c r="B41" s="24">
        <v>1</v>
      </c>
      <c r="C41" s="12">
        <f>('[1]Casual Interview'!$G16/100)*100</f>
        <v>0.86</v>
      </c>
      <c r="D41" s="19">
        <f>_xlfn.RANK.AVG(C41,$C$41:$C$46)</f>
        <v>6</v>
      </c>
      <c r="E41" s="12">
        <f>('[2]Casual Interview'!$G16/100)*100</f>
        <v>0.8</v>
      </c>
      <c r="F41" s="19">
        <f t="shared" ref="F41" si="19">_xlfn.RANK.AVG(E41,$E$41:$E$46)</f>
        <v>6</v>
      </c>
      <c r="G41" s="12">
        <f>('[3]Casual Interview'!$G16/100)*100</f>
        <v>0.85000000000000009</v>
      </c>
      <c r="H41" s="19">
        <f>_xlfn.RANK.AVG(G41,G$41:G$46)</f>
        <v>5</v>
      </c>
      <c r="I41" s="22">
        <f>(C41+E41+G41)/3*100</f>
        <v>83.666666666666671</v>
      </c>
      <c r="J41" s="22">
        <f t="shared" ref="J41:J46" si="20">(D41+F41+H41)</f>
        <v>17</v>
      </c>
      <c r="K41" s="13">
        <f>_xlfn.RANK.AVG(J41,J$41:J$46,1)</f>
        <v>6</v>
      </c>
      <c r="M41" s="24">
        <v>1</v>
      </c>
      <c r="N41" s="12">
        <f>('[1]Casual Interview'!$O16/100)*100</f>
        <v>0.85000000000000009</v>
      </c>
      <c r="O41" s="19">
        <f>_xlfn.RANK.AVG(N41,$N$41:$N$46)</f>
        <v>4.5</v>
      </c>
      <c r="P41" s="12">
        <f>('[2]Casual Interview'!$O16/100)*100</f>
        <v>0.86</v>
      </c>
      <c r="Q41" s="19">
        <f>_xlfn.RANK.AVG(P41,P$41:P$46)</f>
        <v>3</v>
      </c>
      <c r="R41" s="12">
        <f>('[3]Casual Interview'!$O16/100)*100</f>
        <v>0.86</v>
      </c>
      <c r="S41" s="19">
        <f>_xlfn.RANK.AVG(R41,R$41:R$46)</f>
        <v>5</v>
      </c>
      <c r="T41" s="22">
        <f>(N41+P41+R41)/3*100</f>
        <v>85.666666666666657</v>
      </c>
      <c r="U41" s="21">
        <f>(O41+Q41+S41)</f>
        <v>12.5</v>
      </c>
      <c r="V41" s="13">
        <f>_xlfn.RANK.AVG(U41,U$41:U$46,1)</f>
        <v>4</v>
      </c>
    </row>
    <row r="42" spans="1:22" s="3" customFormat="1" ht="21" customHeight="1">
      <c r="B42" s="25">
        <v>2</v>
      </c>
      <c r="C42" s="16">
        <f>('[1]Casual Interview'!$G17/100)*100</f>
        <v>0.93</v>
      </c>
      <c r="D42" s="20">
        <f t="shared" ref="D42:D46" si="21">_xlfn.RANK.AVG(C42,$C$41:$C$46)</f>
        <v>3.5</v>
      </c>
      <c r="E42" s="16">
        <f>('[2]Casual Interview'!$G17/100)*100</f>
        <v>0.86999999999999988</v>
      </c>
      <c r="F42" s="20">
        <f>_xlfn.RANK.AVG(E42,$E$41:$E$46)</f>
        <v>3.5</v>
      </c>
      <c r="G42" s="16">
        <f>('[3]Casual Interview'!$G17/100)*100</f>
        <v>0.86</v>
      </c>
      <c r="H42" s="20">
        <f t="shared" ref="H42:H46" si="22">_xlfn.RANK.AVG(G42,G$41:G$46)</f>
        <v>4</v>
      </c>
      <c r="I42" s="23">
        <f t="shared" ref="I42:I46" si="23">(C42+E42+G42)/3*100</f>
        <v>88.666666666666657</v>
      </c>
      <c r="J42" s="44">
        <f t="shared" si="20"/>
        <v>11</v>
      </c>
      <c r="K42" s="17">
        <f t="shared" ref="K42:K46" si="24">_xlfn.RANK.AVG(J42,J$41:J$46,1)</f>
        <v>4</v>
      </c>
      <c r="M42" s="25">
        <v>2</v>
      </c>
      <c r="N42" s="16">
        <f>('[1]Casual Interview'!$O17/100)*100</f>
        <v>0.91999999999999993</v>
      </c>
      <c r="O42" s="20">
        <f t="shared" ref="O42:O46" si="25">_xlfn.RANK.AVG(N42,$N$41:$N$46)</f>
        <v>2</v>
      </c>
      <c r="P42" s="16">
        <f>('[2]Casual Interview'!$O17/100)*100</f>
        <v>0.86999999999999988</v>
      </c>
      <c r="Q42" s="20">
        <f t="shared" ref="Q42:Q46" si="26">_xlfn.RANK.AVG(P42,P$41:P$46)</f>
        <v>2</v>
      </c>
      <c r="R42" s="16">
        <f>('[3]Casual Interview'!$O17/100)*100</f>
        <v>0.93999999999999984</v>
      </c>
      <c r="S42" s="20">
        <f t="shared" ref="S42:S46" si="27">_xlfn.RANK.AVG(R42,R$41:R$46)</f>
        <v>1</v>
      </c>
      <c r="T42" s="23">
        <f t="shared" ref="T42:T46" si="28">(N42+P42+R42)/3*100</f>
        <v>90.999999999999986</v>
      </c>
      <c r="U42" s="102">
        <f t="shared" ref="U42:U46" si="29">(O42+Q42+S42)</f>
        <v>5</v>
      </c>
      <c r="V42" s="17">
        <f t="shared" ref="V42:V46" si="30">_xlfn.RANK.AVG(U42,U$41:U$46,1)</f>
        <v>1</v>
      </c>
    </row>
    <row r="43" spans="1:22" s="3" customFormat="1" ht="21" customHeight="1">
      <c r="B43" s="25">
        <v>3</v>
      </c>
      <c r="C43" s="16">
        <f>('[1]Casual Interview'!$G18/100)*100</f>
        <v>0.95</v>
      </c>
      <c r="D43" s="20">
        <f t="shared" si="21"/>
        <v>2</v>
      </c>
      <c r="E43" s="16">
        <f>('[2]Casual Interview'!$G18/100)*100</f>
        <v>0.86999999999999988</v>
      </c>
      <c r="F43" s="20">
        <f t="shared" ref="F43:F46" si="31">_xlfn.RANK.AVG(E43,$E$41:$E$46)</f>
        <v>3.5</v>
      </c>
      <c r="G43" s="16">
        <f>('[3]Casual Interview'!$G18/100)*100</f>
        <v>0.95</v>
      </c>
      <c r="H43" s="20">
        <f t="shared" si="22"/>
        <v>1</v>
      </c>
      <c r="I43" s="23">
        <f t="shared" si="23"/>
        <v>92.333333333333329</v>
      </c>
      <c r="J43" s="44">
        <f t="shared" si="20"/>
        <v>6.5</v>
      </c>
      <c r="K43" s="17">
        <f t="shared" si="24"/>
        <v>2</v>
      </c>
      <c r="M43" s="25">
        <v>3</v>
      </c>
      <c r="N43" s="16">
        <f>('[1]Casual Interview'!$O18/100)*100</f>
        <v>0.85000000000000009</v>
      </c>
      <c r="O43" s="20">
        <f t="shared" si="25"/>
        <v>4.5</v>
      </c>
      <c r="P43" s="16">
        <f>('[2]Casual Interview'!$O18/100)*100</f>
        <v>0.81999999999999984</v>
      </c>
      <c r="Q43" s="20">
        <f t="shared" si="26"/>
        <v>5</v>
      </c>
      <c r="R43" s="16">
        <f>('[3]Casual Interview'!$O18/100)*100</f>
        <v>0.88</v>
      </c>
      <c r="S43" s="20">
        <f t="shared" si="27"/>
        <v>4</v>
      </c>
      <c r="T43" s="23">
        <f t="shared" si="28"/>
        <v>85</v>
      </c>
      <c r="U43" s="102">
        <f t="shared" si="29"/>
        <v>13.5</v>
      </c>
      <c r="V43" s="17">
        <f t="shared" si="30"/>
        <v>5</v>
      </c>
    </row>
    <row r="44" spans="1:22" s="3" customFormat="1" ht="21" customHeight="1">
      <c r="B44" s="25">
        <v>4</v>
      </c>
      <c r="C44" s="16">
        <f>('[1]Casual Interview'!$G19/100)*100</f>
        <v>0.91999999999999993</v>
      </c>
      <c r="D44" s="20">
        <f t="shared" si="21"/>
        <v>5</v>
      </c>
      <c r="E44" s="16">
        <f>('[2]Casual Interview'!$G19/100)*100</f>
        <v>0.83</v>
      </c>
      <c r="F44" s="20">
        <f t="shared" si="31"/>
        <v>5</v>
      </c>
      <c r="G44" s="16">
        <f>('[3]Casual Interview'!$G19/100)*100</f>
        <v>0.84</v>
      </c>
      <c r="H44" s="20">
        <f t="shared" si="22"/>
        <v>6</v>
      </c>
      <c r="I44" s="23">
        <f t="shared" si="23"/>
        <v>86.333333333333329</v>
      </c>
      <c r="J44" s="44">
        <f t="shared" si="20"/>
        <v>16</v>
      </c>
      <c r="K44" s="17">
        <f t="shared" si="24"/>
        <v>5</v>
      </c>
      <c r="M44" s="25">
        <v>4</v>
      </c>
      <c r="N44" s="16">
        <f>('[1]Casual Interview'!$O19/100)*100</f>
        <v>0.93999999999999984</v>
      </c>
      <c r="O44" s="20">
        <f t="shared" si="25"/>
        <v>1</v>
      </c>
      <c r="P44" s="16">
        <f>('[2]Casual Interview'!$O19/100)*100</f>
        <v>0.85000000000000009</v>
      </c>
      <c r="Q44" s="20">
        <f t="shared" si="26"/>
        <v>4</v>
      </c>
      <c r="R44" s="16">
        <f>('[3]Casual Interview'!$O19/100)*100</f>
        <v>0.91999999999999993</v>
      </c>
      <c r="S44" s="20">
        <f t="shared" si="27"/>
        <v>2</v>
      </c>
      <c r="T44" s="23">
        <f t="shared" si="28"/>
        <v>90.333333333333329</v>
      </c>
      <c r="U44" s="102">
        <f t="shared" si="29"/>
        <v>7</v>
      </c>
      <c r="V44" s="17">
        <f t="shared" si="30"/>
        <v>2.5</v>
      </c>
    </row>
    <row r="45" spans="1:22" s="3" customFormat="1" ht="21" customHeight="1">
      <c r="B45" s="25">
        <v>5</v>
      </c>
      <c r="C45" s="16">
        <f>('[1]Casual Interview'!$G20/100)*100</f>
        <v>0.93</v>
      </c>
      <c r="D45" s="20">
        <f t="shared" si="21"/>
        <v>3.5</v>
      </c>
      <c r="E45" s="16">
        <f>('[2]Casual Interview'!$G20/100)*100</f>
        <v>0.90000000000000013</v>
      </c>
      <c r="F45" s="20">
        <f t="shared" si="31"/>
        <v>1</v>
      </c>
      <c r="G45" s="16">
        <f>('[3]Casual Interview'!$G20/100)*100</f>
        <v>0.86999999999999988</v>
      </c>
      <c r="H45" s="20">
        <f t="shared" si="22"/>
        <v>3</v>
      </c>
      <c r="I45" s="23">
        <f t="shared" si="23"/>
        <v>90</v>
      </c>
      <c r="J45" s="44">
        <f t="shared" si="20"/>
        <v>7.5</v>
      </c>
      <c r="K45" s="17">
        <f t="shared" si="24"/>
        <v>3</v>
      </c>
      <c r="M45" s="25">
        <v>5</v>
      </c>
      <c r="N45" s="16">
        <f>('[1]Casual Interview'!$O20/100)*100</f>
        <v>0.88</v>
      </c>
      <c r="O45" s="20">
        <f t="shared" si="25"/>
        <v>3</v>
      </c>
      <c r="P45" s="16">
        <f>('[2]Casual Interview'!$O20/100)*100</f>
        <v>0.88</v>
      </c>
      <c r="Q45" s="20">
        <f t="shared" si="26"/>
        <v>1</v>
      </c>
      <c r="R45" s="16">
        <f>('[3]Casual Interview'!$O20/100)*100</f>
        <v>0.90000000000000013</v>
      </c>
      <c r="S45" s="20">
        <f t="shared" si="27"/>
        <v>3</v>
      </c>
      <c r="T45" s="23">
        <f t="shared" si="28"/>
        <v>88.666666666666671</v>
      </c>
      <c r="U45" s="102">
        <f t="shared" si="29"/>
        <v>7</v>
      </c>
      <c r="V45" s="17">
        <f t="shared" si="30"/>
        <v>2.5</v>
      </c>
    </row>
    <row r="46" spans="1:22" s="3" customFormat="1" ht="21" customHeight="1" thickBot="1">
      <c r="A46" s="18"/>
      <c r="B46" s="29">
        <v>6</v>
      </c>
      <c r="C46" s="30">
        <f>('[1]Casual Interview'!$G21/100)*100</f>
        <v>0.98</v>
      </c>
      <c r="D46" s="31">
        <f t="shared" si="21"/>
        <v>1</v>
      </c>
      <c r="E46" s="30">
        <f>('[2]Casual Interview'!$G21/100)*100</f>
        <v>0.89</v>
      </c>
      <c r="F46" s="31">
        <f t="shared" si="31"/>
        <v>2</v>
      </c>
      <c r="G46" s="30">
        <f>('[3]Casual Interview'!$G21/100)*100</f>
        <v>0.93999999999999984</v>
      </c>
      <c r="H46" s="31">
        <f t="shared" si="22"/>
        <v>2</v>
      </c>
      <c r="I46" s="32">
        <f t="shared" si="23"/>
        <v>93.666666666666671</v>
      </c>
      <c r="J46" s="45">
        <f t="shared" si="20"/>
        <v>5</v>
      </c>
      <c r="K46" s="33">
        <f t="shared" si="24"/>
        <v>1</v>
      </c>
      <c r="M46" s="29">
        <v>6</v>
      </c>
      <c r="N46" s="30">
        <f>('[1]Casual Interview'!$O21/100)*100</f>
        <v>0.84</v>
      </c>
      <c r="O46" s="31">
        <f t="shared" si="25"/>
        <v>6</v>
      </c>
      <c r="P46" s="30">
        <f>('[2]Casual Interview'!$O21/100)*100</f>
        <v>0.79</v>
      </c>
      <c r="Q46" s="31">
        <f t="shared" si="26"/>
        <v>6</v>
      </c>
      <c r="R46" s="30">
        <f>('[3]Casual Interview'!$O21/100)*100</f>
        <v>0.8</v>
      </c>
      <c r="S46" s="31">
        <f t="shared" si="27"/>
        <v>6</v>
      </c>
      <c r="T46" s="32">
        <f t="shared" si="28"/>
        <v>81</v>
      </c>
      <c r="U46" s="97">
        <f t="shared" si="29"/>
        <v>18</v>
      </c>
      <c r="V46" s="33">
        <f t="shared" si="30"/>
        <v>6</v>
      </c>
    </row>
    <row r="47" spans="1:22" s="3" customFormat="1" ht="21" customHeight="1">
      <c r="B47" s="63"/>
      <c r="C47" s="76"/>
      <c r="D47" s="63"/>
      <c r="E47" s="76"/>
      <c r="F47" s="63"/>
      <c r="G47" s="76"/>
      <c r="H47" s="63"/>
      <c r="I47" s="77"/>
      <c r="J47" s="77"/>
      <c r="K47" s="67"/>
      <c r="M47" s="63"/>
      <c r="N47" s="76"/>
      <c r="O47" s="63"/>
      <c r="P47" s="76"/>
      <c r="Q47" s="63"/>
      <c r="R47" s="76"/>
      <c r="S47" s="63"/>
      <c r="T47" s="77"/>
      <c r="U47" s="78"/>
      <c r="V47" s="67"/>
    </row>
    <row r="48" spans="1:22" ht="20.25" hidden="1">
      <c r="B48" s="116" t="s">
        <v>20</v>
      </c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</row>
    <row r="49" spans="1:22" hidden="1">
      <c r="B49" s="130" t="s">
        <v>21</v>
      </c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9.75" hidden="1" customHeight="1"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22" ht="18" hidden="1" customHeight="1">
      <c r="B51" s="117" t="s">
        <v>7</v>
      </c>
      <c r="C51" s="117"/>
      <c r="D51" s="117"/>
      <c r="E51" s="117"/>
      <c r="F51" s="117"/>
      <c r="G51" s="117"/>
      <c r="H51" s="117"/>
      <c r="I51" s="117"/>
      <c r="J51" s="117"/>
      <c r="K51" s="117"/>
      <c r="M51" s="117" t="s">
        <v>8</v>
      </c>
      <c r="N51" s="117"/>
      <c r="O51" s="117"/>
      <c r="P51" s="117"/>
      <c r="Q51" s="117"/>
      <c r="R51" s="117"/>
      <c r="S51" s="117"/>
      <c r="T51" s="117"/>
      <c r="U51" s="117"/>
      <c r="V51" s="117"/>
    </row>
    <row r="52" spans="1:22" ht="7.5" hidden="1" customHeight="1">
      <c r="B52" s="1"/>
      <c r="C52" s="2"/>
      <c r="D52" s="2"/>
      <c r="E52" s="2"/>
      <c r="F52" s="2"/>
      <c r="G52" s="2"/>
      <c r="H52" s="2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 hidden="1" customHeight="1">
      <c r="B53" s="118" t="s">
        <v>9</v>
      </c>
      <c r="C53" s="134" t="s">
        <v>22</v>
      </c>
      <c r="D53" s="135"/>
      <c r="E53" s="135"/>
      <c r="F53" s="135"/>
      <c r="G53" s="135"/>
      <c r="H53" s="136"/>
      <c r="I53" s="122" t="s">
        <v>13</v>
      </c>
      <c r="J53" s="122" t="s">
        <v>14</v>
      </c>
      <c r="K53" s="124" t="s">
        <v>15</v>
      </c>
      <c r="M53" s="118" t="s">
        <v>9</v>
      </c>
      <c r="N53" s="137" t="s">
        <v>22</v>
      </c>
      <c r="O53" s="138"/>
      <c r="P53" s="138"/>
      <c r="Q53" s="138"/>
      <c r="R53" s="138"/>
      <c r="S53" s="139"/>
      <c r="T53" s="122" t="s">
        <v>13</v>
      </c>
      <c r="U53" s="122" t="s">
        <v>14</v>
      </c>
      <c r="V53" s="124" t="s">
        <v>15</v>
      </c>
    </row>
    <row r="54" spans="1:22" ht="21" hidden="1" customHeight="1">
      <c r="B54" s="127"/>
      <c r="C54" s="131" t="s">
        <v>6</v>
      </c>
      <c r="D54" s="132"/>
      <c r="E54" s="133"/>
      <c r="F54" s="133" t="s">
        <v>23</v>
      </c>
      <c r="G54" s="133"/>
      <c r="H54" s="133"/>
      <c r="I54" s="128"/>
      <c r="J54" s="128"/>
      <c r="K54" s="129"/>
      <c r="M54" s="127"/>
      <c r="N54" s="131" t="s">
        <v>6</v>
      </c>
      <c r="O54" s="132"/>
      <c r="P54" s="133"/>
      <c r="Q54" s="133" t="s">
        <v>23</v>
      </c>
      <c r="R54" s="133"/>
      <c r="S54" s="133"/>
      <c r="T54" s="128"/>
      <c r="U54" s="128"/>
      <c r="V54" s="129"/>
    </row>
    <row r="55" spans="1:22" ht="26.25" hidden="1" customHeight="1" thickBot="1">
      <c r="B55" s="119"/>
      <c r="C55" s="39" t="s">
        <v>24</v>
      </c>
      <c r="D55" s="100">
        <v>0.5</v>
      </c>
      <c r="E55" s="50" t="s">
        <v>17</v>
      </c>
      <c r="F55" s="39" t="s">
        <v>24</v>
      </c>
      <c r="G55" s="100">
        <v>0.5</v>
      </c>
      <c r="H55" s="40" t="s">
        <v>17</v>
      </c>
      <c r="I55" s="123"/>
      <c r="J55" s="123"/>
      <c r="K55" s="125"/>
      <c r="M55" s="119"/>
      <c r="N55" s="39" t="s">
        <v>24</v>
      </c>
      <c r="O55" s="100">
        <v>0.5</v>
      </c>
      <c r="P55" s="50" t="s">
        <v>17</v>
      </c>
      <c r="Q55" s="39" t="s">
        <v>24</v>
      </c>
      <c r="R55" s="100">
        <v>0.5</v>
      </c>
      <c r="S55" s="40" t="s">
        <v>17</v>
      </c>
      <c r="T55" s="123"/>
      <c r="U55" s="123"/>
      <c r="V55" s="125"/>
    </row>
    <row r="56" spans="1:22" s="3" customFormat="1" ht="21" hidden="1" customHeight="1" thickTop="1">
      <c r="B56" s="24">
        <v>1</v>
      </c>
      <c r="C56" s="35">
        <f t="shared" ref="C56:C61" si="32">I15/100</f>
        <v>0.89666666666666661</v>
      </c>
      <c r="D56" s="49">
        <f>$C56*0.5</f>
        <v>0.44833333333333331</v>
      </c>
      <c r="E56" s="51">
        <f t="shared" ref="E56:E61" si="33">_xlfn.RANK.AVG(D56,D$56:D$61)</f>
        <v>3</v>
      </c>
      <c r="F56" s="35" t="e">
        <f t="shared" ref="F56:F61" si="34">I28/100</f>
        <v>#REF!</v>
      </c>
      <c r="G56" s="49" t="e">
        <f>$F56*0.5</f>
        <v>#REF!</v>
      </c>
      <c r="H56" s="38" t="e">
        <f t="shared" ref="H56:H61" si="35">_xlfn.RANK.AVG(G56,G$56:G$61)</f>
        <v>#REF!</v>
      </c>
      <c r="I56" s="41" t="e">
        <f>(D56+G56)/100*100</f>
        <v>#REF!</v>
      </c>
      <c r="J56" s="46" t="e">
        <f>(E56+H56)</f>
        <v>#REF!</v>
      </c>
      <c r="K56" s="13" t="e">
        <f t="shared" ref="K56:K61" si="36">_xlfn.RANK.AVG(J56,J$56:J$61,1)</f>
        <v>#REF!</v>
      </c>
      <c r="M56" s="24">
        <v>1</v>
      </c>
      <c r="N56" s="35">
        <f t="shared" ref="N56:N61" si="37">T15/100</f>
        <v>0.8899999999999999</v>
      </c>
      <c r="O56" s="49">
        <f>$N56*0.5</f>
        <v>0.44499999999999995</v>
      </c>
      <c r="P56" s="51">
        <f t="shared" ref="P56:P61" si="38">_xlfn.RANK.AVG(O56,O$56:O$61)</f>
        <v>3</v>
      </c>
      <c r="Q56" s="35" t="e">
        <f t="shared" ref="Q56:Q61" si="39">T28/100</f>
        <v>#REF!</v>
      </c>
      <c r="R56" s="49" t="e">
        <f>$Q56*0.5</f>
        <v>#REF!</v>
      </c>
      <c r="S56" s="38" t="e">
        <f t="shared" ref="S56:S61" si="40">_xlfn.RANK.AVG(R56,R$56:R$61)</f>
        <v>#REF!</v>
      </c>
      <c r="T56" s="41" t="e">
        <f>(O56+R56)/100*100</f>
        <v>#REF!</v>
      </c>
      <c r="U56" s="46" t="e">
        <f>(P56+S56)</f>
        <v>#REF!</v>
      </c>
      <c r="V56" s="13" t="e">
        <f t="shared" ref="V56:V61" si="41">_xlfn.RANK.AVG(U56,U$56:U$61,1)</f>
        <v>#REF!</v>
      </c>
    </row>
    <row r="57" spans="1:22" s="3" customFormat="1" ht="21" hidden="1" customHeight="1">
      <c r="B57" s="25">
        <v>2</v>
      </c>
      <c r="C57" s="36">
        <f t="shared" si="32"/>
        <v>0.87666666666666659</v>
      </c>
      <c r="D57" s="36">
        <f>$C57*0.5</f>
        <v>0.4383333333333333</v>
      </c>
      <c r="E57" s="104">
        <f t="shared" si="33"/>
        <v>5</v>
      </c>
      <c r="F57" s="36" t="e">
        <f t="shared" si="34"/>
        <v>#REF!</v>
      </c>
      <c r="G57" s="36" t="e">
        <f t="shared" ref="G57:G61" si="42">$F57*0.5</f>
        <v>#REF!</v>
      </c>
      <c r="H57" s="103" t="e">
        <f t="shared" si="35"/>
        <v>#REF!</v>
      </c>
      <c r="I57" s="42" t="e">
        <f t="shared" ref="I57:I61" si="43">(D57+G57)/100*100</f>
        <v>#REF!</v>
      </c>
      <c r="J57" s="47" t="e">
        <f t="shared" ref="J57:J61" si="44">(E57+H57)</f>
        <v>#REF!</v>
      </c>
      <c r="K57" s="17" t="e">
        <f t="shared" si="36"/>
        <v>#REF!</v>
      </c>
      <c r="M57" s="25">
        <v>2</v>
      </c>
      <c r="N57" s="36">
        <f t="shared" si="37"/>
        <v>0.89666666666666661</v>
      </c>
      <c r="O57" s="36">
        <f t="shared" ref="O57:O61" si="45">$N57*0.5</f>
        <v>0.44833333333333331</v>
      </c>
      <c r="P57" s="104">
        <f t="shared" si="38"/>
        <v>2</v>
      </c>
      <c r="Q57" s="36" t="e">
        <f t="shared" si="39"/>
        <v>#REF!</v>
      </c>
      <c r="R57" s="36" t="e">
        <f t="shared" ref="R57:R61" si="46">$Q57*0.5</f>
        <v>#REF!</v>
      </c>
      <c r="S57" s="103" t="e">
        <f t="shared" si="40"/>
        <v>#REF!</v>
      </c>
      <c r="T57" s="42" t="e">
        <f t="shared" ref="T57:T61" si="47">(O57+R57)/100*100</f>
        <v>#REF!</v>
      </c>
      <c r="U57" s="47" t="e">
        <f t="shared" ref="U57:U61" si="48">(P57+S57)</f>
        <v>#REF!</v>
      </c>
      <c r="V57" s="17" t="e">
        <f t="shared" si="41"/>
        <v>#REF!</v>
      </c>
    </row>
    <row r="58" spans="1:22" s="3" customFormat="1" ht="21" hidden="1" customHeight="1">
      <c r="B58" s="25">
        <v>3</v>
      </c>
      <c r="C58" s="36">
        <f t="shared" si="32"/>
        <v>0.91333333333333333</v>
      </c>
      <c r="D58" s="36">
        <f t="shared" ref="D58:D61" si="49">$C58*0.5</f>
        <v>0.45666666666666667</v>
      </c>
      <c r="E58" s="104">
        <f t="shared" si="33"/>
        <v>1.5</v>
      </c>
      <c r="F58" s="36" t="e">
        <f t="shared" si="34"/>
        <v>#REF!</v>
      </c>
      <c r="G58" s="36" t="e">
        <f t="shared" si="42"/>
        <v>#REF!</v>
      </c>
      <c r="H58" s="103" t="e">
        <f t="shared" si="35"/>
        <v>#REF!</v>
      </c>
      <c r="I58" s="42" t="e">
        <f>(D58+G58)/100*100</f>
        <v>#REF!</v>
      </c>
      <c r="J58" s="47" t="e">
        <f t="shared" si="44"/>
        <v>#REF!</v>
      </c>
      <c r="K58" s="17" t="e">
        <f t="shared" si="36"/>
        <v>#REF!</v>
      </c>
      <c r="M58" s="25">
        <v>3</v>
      </c>
      <c r="N58" s="36">
        <f t="shared" si="37"/>
        <v>0.87333333333333341</v>
      </c>
      <c r="O58" s="36">
        <f t="shared" si="45"/>
        <v>0.4366666666666667</v>
      </c>
      <c r="P58" s="104">
        <f t="shared" si="38"/>
        <v>6</v>
      </c>
      <c r="Q58" s="36" t="e">
        <f t="shared" si="39"/>
        <v>#REF!</v>
      </c>
      <c r="R58" s="36" t="e">
        <f t="shared" si="46"/>
        <v>#REF!</v>
      </c>
      <c r="S58" s="103" t="e">
        <f t="shared" si="40"/>
        <v>#REF!</v>
      </c>
      <c r="T58" s="42" t="e">
        <f t="shared" si="47"/>
        <v>#REF!</v>
      </c>
      <c r="U58" s="47" t="e">
        <f t="shared" si="48"/>
        <v>#REF!</v>
      </c>
      <c r="V58" s="17" t="e">
        <f t="shared" si="41"/>
        <v>#REF!</v>
      </c>
    </row>
    <row r="59" spans="1:22" s="3" customFormat="1" ht="21" hidden="1" customHeight="1">
      <c r="B59" s="25">
        <v>4</v>
      </c>
      <c r="C59" s="36">
        <f t="shared" si="32"/>
        <v>0.91333333333333333</v>
      </c>
      <c r="D59" s="36">
        <f t="shared" si="49"/>
        <v>0.45666666666666667</v>
      </c>
      <c r="E59" s="104">
        <f t="shared" si="33"/>
        <v>1.5</v>
      </c>
      <c r="F59" s="36" t="e">
        <f t="shared" si="34"/>
        <v>#REF!</v>
      </c>
      <c r="G59" s="36" t="e">
        <f t="shared" si="42"/>
        <v>#REF!</v>
      </c>
      <c r="H59" s="103" t="e">
        <f t="shared" si="35"/>
        <v>#REF!</v>
      </c>
      <c r="I59" s="42" t="e">
        <f t="shared" si="43"/>
        <v>#REF!</v>
      </c>
      <c r="J59" s="47" t="e">
        <f t="shared" si="44"/>
        <v>#REF!</v>
      </c>
      <c r="K59" s="17" t="e">
        <f t="shared" si="36"/>
        <v>#REF!</v>
      </c>
      <c r="M59" s="25">
        <v>4</v>
      </c>
      <c r="N59" s="36">
        <f t="shared" si="37"/>
        <v>0.8866666666666666</v>
      </c>
      <c r="O59" s="36">
        <f t="shared" si="45"/>
        <v>0.4433333333333333</v>
      </c>
      <c r="P59" s="104">
        <f t="shared" si="38"/>
        <v>5</v>
      </c>
      <c r="Q59" s="36" t="e">
        <f t="shared" si="39"/>
        <v>#REF!</v>
      </c>
      <c r="R59" s="36" t="e">
        <f t="shared" si="46"/>
        <v>#REF!</v>
      </c>
      <c r="S59" s="103" t="e">
        <f t="shared" si="40"/>
        <v>#REF!</v>
      </c>
      <c r="T59" s="42" t="e">
        <f t="shared" si="47"/>
        <v>#REF!</v>
      </c>
      <c r="U59" s="47" t="e">
        <f t="shared" si="48"/>
        <v>#REF!</v>
      </c>
      <c r="V59" s="17" t="e">
        <f t="shared" si="41"/>
        <v>#REF!</v>
      </c>
    </row>
    <row r="60" spans="1:22" s="3" customFormat="1" ht="21" hidden="1" customHeight="1">
      <c r="B60" s="25">
        <v>5</v>
      </c>
      <c r="C60" s="36">
        <f t="shared" si="32"/>
        <v>0.89</v>
      </c>
      <c r="D60" s="36">
        <f t="shared" si="49"/>
        <v>0.44500000000000001</v>
      </c>
      <c r="E60" s="104">
        <f t="shared" si="33"/>
        <v>4</v>
      </c>
      <c r="F60" s="36" t="e">
        <f t="shared" si="34"/>
        <v>#REF!</v>
      </c>
      <c r="G60" s="36" t="e">
        <f t="shared" si="42"/>
        <v>#REF!</v>
      </c>
      <c r="H60" s="103" t="e">
        <f t="shared" si="35"/>
        <v>#REF!</v>
      </c>
      <c r="I60" s="42" t="e">
        <f t="shared" si="43"/>
        <v>#REF!</v>
      </c>
      <c r="J60" s="47" t="e">
        <f t="shared" si="44"/>
        <v>#REF!</v>
      </c>
      <c r="K60" s="17" t="e">
        <f t="shared" si="36"/>
        <v>#REF!</v>
      </c>
      <c r="M60" s="25">
        <v>5</v>
      </c>
      <c r="N60" s="36">
        <f t="shared" si="37"/>
        <v>0.91</v>
      </c>
      <c r="O60" s="36">
        <f t="shared" si="45"/>
        <v>0.45500000000000002</v>
      </c>
      <c r="P60" s="104">
        <f t="shared" si="38"/>
        <v>1</v>
      </c>
      <c r="Q60" s="36" t="e">
        <f t="shared" si="39"/>
        <v>#REF!</v>
      </c>
      <c r="R60" s="36" t="e">
        <f t="shared" si="46"/>
        <v>#REF!</v>
      </c>
      <c r="S60" s="103" t="e">
        <f t="shared" si="40"/>
        <v>#REF!</v>
      </c>
      <c r="T60" s="42" t="e">
        <f t="shared" si="47"/>
        <v>#REF!</v>
      </c>
      <c r="U60" s="47" t="e">
        <f t="shared" si="48"/>
        <v>#REF!</v>
      </c>
      <c r="V60" s="17" t="e">
        <f t="shared" si="41"/>
        <v>#REF!</v>
      </c>
    </row>
    <row r="61" spans="1:22" s="3" customFormat="1" ht="21" hidden="1" customHeight="1" thickBot="1">
      <c r="A61" s="18"/>
      <c r="B61" s="29">
        <v>6</v>
      </c>
      <c r="C61" s="37">
        <f t="shared" si="32"/>
        <v>0.86</v>
      </c>
      <c r="D61" s="37">
        <f t="shared" si="49"/>
        <v>0.43</v>
      </c>
      <c r="E61" s="99">
        <f t="shared" si="33"/>
        <v>6</v>
      </c>
      <c r="F61" s="37" t="e">
        <f t="shared" si="34"/>
        <v>#REF!</v>
      </c>
      <c r="G61" s="37" t="e">
        <f t="shared" si="42"/>
        <v>#REF!</v>
      </c>
      <c r="H61" s="98" t="e">
        <f t="shared" si="35"/>
        <v>#REF!</v>
      </c>
      <c r="I61" s="43" t="e">
        <f t="shared" si="43"/>
        <v>#REF!</v>
      </c>
      <c r="J61" s="48" t="e">
        <f t="shared" si="44"/>
        <v>#REF!</v>
      </c>
      <c r="K61" s="33" t="e">
        <f t="shared" si="36"/>
        <v>#REF!</v>
      </c>
      <c r="M61" s="29">
        <v>6</v>
      </c>
      <c r="N61" s="37">
        <f t="shared" si="37"/>
        <v>0.88666666666666671</v>
      </c>
      <c r="O61" s="37">
        <f t="shared" si="45"/>
        <v>0.44333333333333336</v>
      </c>
      <c r="P61" s="99">
        <f t="shared" si="38"/>
        <v>4</v>
      </c>
      <c r="Q61" s="37" t="e">
        <f t="shared" si="39"/>
        <v>#REF!</v>
      </c>
      <c r="R61" s="37" t="e">
        <f t="shared" si="46"/>
        <v>#REF!</v>
      </c>
      <c r="S61" s="98" t="e">
        <f t="shared" si="40"/>
        <v>#REF!</v>
      </c>
      <c r="T61" s="43" t="e">
        <f t="shared" si="47"/>
        <v>#REF!</v>
      </c>
      <c r="U61" s="48" t="e">
        <f t="shared" si="48"/>
        <v>#REF!</v>
      </c>
      <c r="V61" s="33" t="e">
        <f t="shared" si="41"/>
        <v>#REF!</v>
      </c>
    </row>
    <row r="62" spans="1:22" s="3" customFormat="1" ht="21" hidden="1" customHeight="1">
      <c r="B62" s="71"/>
      <c r="C62" s="5"/>
      <c r="D62" s="5"/>
      <c r="E62" s="5"/>
      <c r="F62" s="5"/>
      <c r="G62" s="5"/>
      <c r="H62"/>
      <c r="I62" s="74"/>
      <c r="J62" s="74"/>
      <c r="K62" s="75"/>
    </row>
    <row r="63" spans="1:22" s="3" customFormat="1" ht="21" customHeight="1">
      <c r="B63" s="116" t="s">
        <v>20</v>
      </c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</row>
    <row r="64" spans="1:22" ht="13.5" customHeight="1">
      <c r="B64" s="130" t="s">
        <v>25</v>
      </c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2:22" ht="13.5" customHeight="1"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2:22" ht="15.75">
      <c r="B66" s="117" t="s">
        <v>7</v>
      </c>
      <c r="C66" s="117"/>
      <c r="D66" s="117"/>
      <c r="E66" s="117"/>
      <c r="F66" s="117"/>
      <c r="G66" s="117"/>
      <c r="H66" s="117"/>
      <c r="I66" s="117"/>
      <c r="J66" s="117"/>
      <c r="K66" s="117"/>
      <c r="M66" s="117" t="s">
        <v>8</v>
      </c>
      <c r="N66" s="117"/>
      <c r="O66" s="117"/>
      <c r="P66" s="117"/>
      <c r="Q66" s="117"/>
      <c r="R66" s="117"/>
      <c r="S66" s="117"/>
      <c r="T66" s="117"/>
      <c r="U66" s="117"/>
      <c r="V66" s="117"/>
    </row>
    <row r="67" spans="2:22" ht="18">
      <c r="B67" s="1"/>
      <c r="C67" s="2"/>
      <c r="D67" s="2"/>
      <c r="E67" s="2"/>
      <c r="F67" s="2"/>
      <c r="G67" s="2"/>
      <c r="H67" s="2"/>
      <c r="I67" s="1"/>
      <c r="J67" s="1"/>
      <c r="K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2" ht="21" customHeight="1">
      <c r="B68" s="118" t="s">
        <v>9</v>
      </c>
      <c r="C68" s="134" t="s">
        <v>22</v>
      </c>
      <c r="D68" s="135"/>
      <c r="E68" s="135"/>
      <c r="F68" s="135"/>
      <c r="G68" s="135"/>
      <c r="H68" s="136"/>
      <c r="I68" s="122" t="s">
        <v>14</v>
      </c>
      <c r="J68" s="122" t="s">
        <v>13</v>
      </c>
      <c r="K68" s="124" t="s">
        <v>15</v>
      </c>
      <c r="M68" s="118" t="s">
        <v>9</v>
      </c>
      <c r="N68" s="137" t="s">
        <v>22</v>
      </c>
      <c r="O68" s="138"/>
      <c r="P68" s="138"/>
      <c r="Q68" s="138"/>
      <c r="R68" s="138"/>
      <c r="S68" s="139"/>
      <c r="T68" s="122" t="s">
        <v>14</v>
      </c>
      <c r="U68" s="122" t="s">
        <v>13</v>
      </c>
      <c r="V68" s="124" t="s">
        <v>15</v>
      </c>
    </row>
    <row r="69" spans="2:22" ht="21" customHeight="1">
      <c r="B69" s="127"/>
      <c r="C69" s="140" t="s">
        <v>26</v>
      </c>
      <c r="D69" s="141"/>
      <c r="E69" s="142" t="s">
        <v>27</v>
      </c>
      <c r="F69" s="141"/>
      <c r="G69" s="142" t="s">
        <v>28</v>
      </c>
      <c r="H69" s="143"/>
      <c r="I69" s="128"/>
      <c r="J69" s="128"/>
      <c r="K69" s="129"/>
      <c r="M69" s="127"/>
      <c r="N69" s="140" t="s">
        <v>26</v>
      </c>
      <c r="O69" s="141"/>
      <c r="P69" s="142" t="s">
        <v>27</v>
      </c>
      <c r="Q69" s="141"/>
      <c r="R69" s="142" t="s">
        <v>28</v>
      </c>
      <c r="S69" s="143"/>
      <c r="T69" s="128"/>
      <c r="U69" s="128"/>
      <c r="V69" s="129"/>
    </row>
    <row r="70" spans="2:22" ht="26.25" customHeight="1" thickBot="1">
      <c r="B70" s="119"/>
      <c r="C70" s="39" t="s">
        <v>17</v>
      </c>
      <c r="D70" s="79">
        <v>0.25</v>
      </c>
      <c r="E70" s="100" t="s">
        <v>17</v>
      </c>
      <c r="F70" s="79">
        <v>0.4</v>
      </c>
      <c r="G70" s="100" t="s">
        <v>17</v>
      </c>
      <c r="H70" s="100">
        <v>0.35</v>
      </c>
      <c r="I70" s="123"/>
      <c r="J70" s="123"/>
      <c r="K70" s="125"/>
      <c r="M70" s="119"/>
      <c r="N70" s="39" t="s">
        <v>17</v>
      </c>
      <c r="O70" s="79">
        <v>0.25</v>
      </c>
      <c r="P70" s="100" t="s">
        <v>17</v>
      </c>
      <c r="Q70" s="79">
        <v>0.4</v>
      </c>
      <c r="R70" s="100" t="s">
        <v>17</v>
      </c>
      <c r="S70" s="100">
        <v>0.35</v>
      </c>
      <c r="T70" s="123"/>
      <c r="U70" s="123"/>
      <c r="V70" s="125"/>
    </row>
    <row r="71" spans="2:22" ht="21.75" customHeight="1" thickTop="1">
      <c r="B71" s="24">
        <v>1</v>
      </c>
      <c r="C71" s="38">
        <f t="shared" ref="C71:C76" si="50">K15</f>
        <v>3</v>
      </c>
      <c r="D71" s="80">
        <f>(C71/100)*25</f>
        <v>0.75</v>
      </c>
      <c r="E71" s="101" t="e">
        <f t="shared" ref="E71:E76" si="51">K28</f>
        <v>#REF!</v>
      </c>
      <c r="F71" s="81" t="e">
        <f>(E71/100)*40</f>
        <v>#REF!</v>
      </c>
      <c r="G71" s="101">
        <f t="shared" ref="G71:G76" si="52">K41</f>
        <v>6</v>
      </c>
      <c r="H71" s="80">
        <f>(G71/100)*35</f>
        <v>2.1</v>
      </c>
      <c r="I71" s="21" t="e">
        <f>(C71+E71+G71)</f>
        <v>#REF!</v>
      </c>
      <c r="J71" s="46" t="e">
        <f>(D71+F71+H71)/3</f>
        <v>#REF!</v>
      </c>
      <c r="K71" s="13" t="e">
        <f t="shared" ref="K71:K76" si="53">_xlfn.RANK.AVG(J71,J$71:J$76,1)</f>
        <v>#REF!</v>
      </c>
      <c r="L71" s="3"/>
      <c r="M71" s="24">
        <v>1</v>
      </c>
      <c r="N71" s="38">
        <f t="shared" ref="N71:N76" si="54">V15</f>
        <v>3.5</v>
      </c>
      <c r="O71" s="80">
        <f>(N71/100)*25</f>
        <v>0.87500000000000011</v>
      </c>
      <c r="P71" s="101" t="e">
        <f>V28</f>
        <v>#REF!</v>
      </c>
      <c r="Q71" s="81" t="e">
        <f>(P71/100)*40</f>
        <v>#REF!</v>
      </c>
      <c r="R71" s="101">
        <f>V41</f>
        <v>4</v>
      </c>
      <c r="S71" s="80">
        <f>(R71/100)*35</f>
        <v>1.4000000000000001</v>
      </c>
      <c r="T71" s="21" t="e">
        <f>(N71+P71+R71)</f>
        <v>#REF!</v>
      </c>
      <c r="U71" s="46" t="e">
        <f>(O71+Q71+S71)/3</f>
        <v>#REF!</v>
      </c>
      <c r="V71" s="13" t="e">
        <f t="shared" ref="V71:V76" si="55">_xlfn.RANK.AVG(U71,U$71:U$76,1)</f>
        <v>#REF!</v>
      </c>
    </row>
    <row r="72" spans="2:22" ht="21.75" customHeight="1">
      <c r="B72" s="25">
        <v>2</v>
      </c>
      <c r="C72" s="103">
        <f t="shared" si="50"/>
        <v>6</v>
      </c>
      <c r="D72" s="44">
        <f t="shared" ref="D72:D76" si="56">(C72/100)*25</f>
        <v>1.5</v>
      </c>
      <c r="E72" s="101" t="e">
        <f t="shared" si="51"/>
        <v>#REF!</v>
      </c>
      <c r="F72" s="20" t="e">
        <f t="shared" ref="F72:F76" si="57">(E72/100)*40</f>
        <v>#REF!</v>
      </c>
      <c r="G72" s="101">
        <f t="shared" si="52"/>
        <v>4</v>
      </c>
      <c r="H72" s="44">
        <f t="shared" ref="H72:H76" si="58">(G72/100)*35</f>
        <v>1.4000000000000001</v>
      </c>
      <c r="I72" s="83" t="e">
        <f t="shared" ref="I72:I76" si="59">(C72+E72+G72)</f>
        <v>#REF!</v>
      </c>
      <c r="J72" s="47" t="e">
        <f t="shared" ref="J72:J75" si="60">(D72+F72+H72)/3</f>
        <v>#REF!</v>
      </c>
      <c r="K72" s="17" t="e">
        <f t="shared" si="53"/>
        <v>#REF!</v>
      </c>
      <c r="L72" s="3"/>
      <c r="M72" s="25">
        <v>2</v>
      </c>
      <c r="N72" s="103">
        <f t="shared" si="54"/>
        <v>3.5</v>
      </c>
      <c r="O72" s="44">
        <f t="shared" ref="O72" si="61">(N72/100)*25</f>
        <v>0.87500000000000011</v>
      </c>
      <c r="P72" s="101" t="e">
        <f t="shared" ref="P72:P76" si="62">V29</f>
        <v>#REF!</v>
      </c>
      <c r="Q72" s="20" t="e">
        <f t="shared" ref="Q72" si="63">(P72/100)*40</f>
        <v>#REF!</v>
      </c>
      <c r="R72" s="101">
        <f t="shared" ref="R72:R75" si="64">V42</f>
        <v>1</v>
      </c>
      <c r="S72" s="44">
        <f t="shared" ref="S72:S76" si="65">(R72/100)*35</f>
        <v>0.35000000000000003</v>
      </c>
      <c r="T72" s="83" t="e">
        <f t="shared" ref="T72:T76" si="66">(N72+P72+R72)</f>
        <v>#REF!</v>
      </c>
      <c r="U72" s="47" t="e">
        <f t="shared" ref="U72:U75" si="67">(O72+Q72+S72)/3</f>
        <v>#REF!</v>
      </c>
      <c r="V72" s="17" t="e">
        <f t="shared" si="55"/>
        <v>#REF!</v>
      </c>
    </row>
    <row r="73" spans="2:22" ht="21.75" customHeight="1">
      <c r="B73" s="25">
        <v>3</v>
      </c>
      <c r="C73" s="103">
        <f t="shared" si="50"/>
        <v>1.5</v>
      </c>
      <c r="D73" s="44">
        <f t="shared" si="56"/>
        <v>0.375</v>
      </c>
      <c r="E73" s="101" t="e">
        <f t="shared" si="51"/>
        <v>#REF!</v>
      </c>
      <c r="F73" s="20" t="e">
        <f t="shared" si="57"/>
        <v>#REF!</v>
      </c>
      <c r="G73" s="101">
        <f t="shared" si="52"/>
        <v>2</v>
      </c>
      <c r="H73" s="44">
        <f t="shared" si="58"/>
        <v>0.70000000000000007</v>
      </c>
      <c r="I73" s="83" t="e">
        <f t="shared" si="59"/>
        <v>#REF!</v>
      </c>
      <c r="J73" s="47" t="e">
        <f t="shared" si="60"/>
        <v>#REF!</v>
      </c>
      <c r="K73" s="17" t="e">
        <f t="shared" si="53"/>
        <v>#REF!</v>
      </c>
      <c r="L73" s="3"/>
      <c r="M73" s="25">
        <v>3</v>
      </c>
      <c r="N73" s="103">
        <f t="shared" si="54"/>
        <v>6</v>
      </c>
      <c r="O73" s="44">
        <f t="shared" ref="O73" si="68">(N73/100)*25</f>
        <v>1.5</v>
      </c>
      <c r="P73" s="101" t="e">
        <f t="shared" si="62"/>
        <v>#REF!</v>
      </c>
      <c r="Q73" s="20" t="e">
        <f t="shared" ref="Q73" si="69">(P73/100)*40</f>
        <v>#REF!</v>
      </c>
      <c r="R73" s="101">
        <f t="shared" si="64"/>
        <v>5</v>
      </c>
      <c r="S73" s="44">
        <f t="shared" si="65"/>
        <v>1.75</v>
      </c>
      <c r="T73" s="83" t="e">
        <f t="shared" si="66"/>
        <v>#REF!</v>
      </c>
      <c r="U73" s="47" t="e">
        <f t="shared" si="67"/>
        <v>#REF!</v>
      </c>
      <c r="V73" s="17" t="e">
        <f t="shared" si="55"/>
        <v>#REF!</v>
      </c>
    </row>
    <row r="74" spans="2:22" ht="21.75" customHeight="1">
      <c r="B74" s="25">
        <v>4</v>
      </c>
      <c r="C74" s="103">
        <f t="shared" si="50"/>
        <v>1</v>
      </c>
      <c r="D74" s="44">
        <f t="shared" si="56"/>
        <v>0.25</v>
      </c>
      <c r="E74" s="101" t="e">
        <f t="shared" si="51"/>
        <v>#REF!</v>
      </c>
      <c r="F74" s="20" t="e">
        <f t="shared" si="57"/>
        <v>#REF!</v>
      </c>
      <c r="G74" s="101">
        <f t="shared" si="52"/>
        <v>5</v>
      </c>
      <c r="H74" s="44">
        <f t="shared" si="58"/>
        <v>1.75</v>
      </c>
      <c r="I74" s="83" t="e">
        <f t="shared" si="59"/>
        <v>#REF!</v>
      </c>
      <c r="J74" s="47" t="e">
        <f t="shared" si="60"/>
        <v>#REF!</v>
      </c>
      <c r="K74" s="17" t="e">
        <f t="shared" si="53"/>
        <v>#REF!</v>
      </c>
      <c r="L74" s="3"/>
      <c r="M74" s="25">
        <v>4</v>
      </c>
      <c r="N74" s="103">
        <f t="shared" si="54"/>
        <v>2</v>
      </c>
      <c r="O74" s="44">
        <f t="shared" ref="O74" si="70">(N74/100)*25</f>
        <v>0.5</v>
      </c>
      <c r="P74" s="101" t="e">
        <f t="shared" si="62"/>
        <v>#REF!</v>
      </c>
      <c r="Q74" s="20" t="e">
        <f t="shared" ref="Q74" si="71">(P74/100)*40</f>
        <v>#REF!</v>
      </c>
      <c r="R74" s="101">
        <f t="shared" si="64"/>
        <v>2.5</v>
      </c>
      <c r="S74" s="44">
        <f>(R74/100)*35</f>
        <v>0.875</v>
      </c>
      <c r="T74" s="83" t="e">
        <f t="shared" si="66"/>
        <v>#REF!</v>
      </c>
      <c r="U74" s="47" t="e">
        <f t="shared" si="67"/>
        <v>#REF!</v>
      </c>
      <c r="V74" s="17" t="e">
        <f t="shared" si="55"/>
        <v>#REF!</v>
      </c>
    </row>
    <row r="75" spans="2:22" ht="21.75" customHeight="1">
      <c r="B75" s="25">
        <v>5</v>
      </c>
      <c r="C75" s="103">
        <f t="shared" si="50"/>
        <v>4</v>
      </c>
      <c r="D75" s="44">
        <f t="shared" si="56"/>
        <v>1</v>
      </c>
      <c r="E75" s="77" t="e">
        <f t="shared" si="51"/>
        <v>#REF!</v>
      </c>
      <c r="F75" s="82" t="e">
        <f t="shared" si="57"/>
        <v>#REF!</v>
      </c>
      <c r="G75" s="101">
        <f t="shared" si="52"/>
        <v>3</v>
      </c>
      <c r="H75" s="44">
        <f t="shared" si="58"/>
        <v>1.05</v>
      </c>
      <c r="I75" s="83" t="e">
        <f t="shared" si="59"/>
        <v>#REF!</v>
      </c>
      <c r="J75" s="47" t="e">
        <f t="shared" si="60"/>
        <v>#REF!</v>
      </c>
      <c r="K75" s="17" t="e">
        <f t="shared" si="53"/>
        <v>#REF!</v>
      </c>
      <c r="L75" s="3"/>
      <c r="M75" s="25">
        <v>5</v>
      </c>
      <c r="N75" s="103">
        <f t="shared" si="54"/>
        <v>1</v>
      </c>
      <c r="O75" s="44">
        <f t="shared" ref="O75" si="72">(N75/100)*25</f>
        <v>0.25</v>
      </c>
      <c r="P75" s="77" t="e">
        <f t="shared" si="62"/>
        <v>#REF!</v>
      </c>
      <c r="Q75" s="82" t="e">
        <f t="shared" ref="Q75" si="73">(P75/100)*40</f>
        <v>#REF!</v>
      </c>
      <c r="R75" s="101">
        <f t="shared" si="64"/>
        <v>2.5</v>
      </c>
      <c r="S75" s="44">
        <f t="shared" si="65"/>
        <v>0.875</v>
      </c>
      <c r="T75" s="83" t="e">
        <f>(N75+P75+R75)</f>
        <v>#REF!</v>
      </c>
      <c r="U75" s="47" t="e">
        <f t="shared" si="67"/>
        <v>#REF!</v>
      </c>
      <c r="V75" s="17" t="e">
        <f t="shared" si="55"/>
        <v>#REF!</v>
      </c>
    </row>
    <row r="76" spans="2:22" ht="21.75" customHeight="1" thickBot="1">
      <c r="B76" s="29">
        <v>6</v>
      </c>
      <c r="C76" s="98">
        <f t="shared" si="50"/>
        <v>5</v>
      </c>
      <c r="D76" s="45">
        <f t="shared" si="56"/>
        <v>1.25</v>
      </c>
      <c r="E76" s="96" t="e">
        <f t="shared" si="51"/>
        <v>#REF!</v>
      </c>
      <c r="F76" s="31" t="e">
        <f t="shared" si="57"/>
        <v>#REF!</v>
      </c>
      <c r="G76" s="96">
        <f t="shared" si="52"/>
        <v>1</v>
      </c>
      <c r="H76" s="45">
        <f t="shared" si="58"/>
        <v>0.35000000000000003</v>
      </c>
      <c r="I76" s="84" t="e">
        <f t="shared" si="59"/>
        <v>#REF!</v>
      </c>
      <c r="J76" s="48" t="e">
        <f>(D76+F76+H76)/3</f>
        <v>#REF!</v>
      </c>
      <c r="K76" s="33" t="e">
        <f t="shared" si="53"/>
        <v>#REF!</v>
      </c>
      <c r="L76" s="3"/>
      <c r="M76" s="29">
        <v>6</v>
      </c>
      <c r="N76" s="98">
        <f t="shared" si="54"/>
        <v>5</v>
      </c>
      <c r="O76" s="45">
        <f t="shared" ref="O76" si="74">(N76/100)*25</f>
        <v>1.25</v>
      </c>
      <c r="P76" s="96" t="e">
        <f t="shared" si="62"/>
        <v>#REF!</v>
      </c>
      <c r="Q76" s="31" t="e">
        <f t="shared" ref="Q76" si="75">(P76/100)*40</f>
        <v>#REF!</v>
      </c>
      <c r="R76" s="96">
        <f>V46</f>
        <v>6</v>
      </c>
      <c r="S76" s="45">
        <f t="shared" si="65"/>
        <v>2.1</v>
      </c>
      <c r="T76" s="84" t="e">
        <f t="shared" si="66"/>
        <v>#REF!</v>
      </c>
      <c r="U76" s="48" t="e">
        <f>(O76+Q76+S76)/3</f>
        <v>#REF!</v>
      </c>
      <c r="V76" s="33" t="e">
        <f t="shared" si="55"/>
        <v>#REF!</v>
      </c>
    </row>
    <row r="78" spans="2:22" ht="20.25" hidden="1">
      <c r="B78" s="116" t="s">
        <v>29</v>
      </c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</row>
    <row r="79" spans="2:22" ht="9.75" hidden="1" customHeight="1"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2:22" ht="18" hidden="1" customHeight="1">
      <c r="B80" s="117" t="s">
        <v>7</v>
      </c>
      <c r="C80" s="117"/>
      <c r="D80" s="117"/>
      <c r="E80" s="117"/>
      <c r="F80" s="117"/>
      <c r="G80" s="117"/>
      <c r="H80" s="117"/>
      <c r="I80" s="117"/>
      <c r="J80" s="117"/>
      <c r="K80" s="117"/>
      <c r="M80" s="117" t="s">
        <v>8</v>
      </c>
      <c r="N80" s="117"/>
      <c r="O80" s="117"/>
      <c r="P80" s="117"/>
      <c r="Q80" s="117"/>
      <c r="R80" s="117"/>
      <c r="S80" s="117"/>
      <c r="T80" s="117"/>
      <c r="U80" s="117"/>
      <c r="V80" s="117"/>
    </row>
    <row r="81" spans="1:22" ht="7.5" hidden="1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.75" hidden="1" customHeight="1">
      <c r="B82" s="118" t="s">
        <v>9</v>
      </c>
      <c r="C82" s="120" t="s">
        <v>10</v>
      </c>
      <c r="D82" s="121"/>
      <c r="E82" s="120" t="s">
        <v>11</v>
      </c>
      <c r="F82" s="121"/>
      <c r="G82" s="120" t="s">
        <v>12</v>
      </c>
      <c r="H82" s="121"/>
      <c r="I82" s="122" t="s">
        <v>13</v>
      </c>
      <c r="J82" s="122" t="s">
        <v>14</v>
      </c>
      <c r="K82" s="124" t="s">
        <v>15</v>
      </c>
      <c r="M82" s="118" t="s">
        <v>9</v>
      </c>
      <c r="N82" s="120" t="s">
        <v>10</v>
      </c>
      <c r="O82" s="121"/>
      <c r="P82" s="120" t="s">
        <v>11</v>
      </c>
      <c r="Q82" s="121"/>
      <c r="R82" s="120" t="s">
        <v>12</v>
      </c>
      <c r="S82" s="121"/>
      <c r="T82" s="122" t="s">
        <v>13</v>
      </c>
      <c r="U82" s="122" t="s">
        <v>14</v>
      </c>
      <c r="V82" s="124" t="s">
        <v>15</v>
      </c>
    </row>
    <row r="83" spans="1:22" ht="17.25" hidden="1" customHeight="1" thickBot="1">
      <c r="B83" s="119"/>
      <c r="C83" s="14" t="s">
        <v>16</v>
      </c>
      <c r="D83" s="27" t="s">
        <v>17</v>
      </c>
      <c r="E83" s="15" t="s">
        <v>16</v>
      </c>
      <c r="F83" s="28" t="s">
        <v>17</v>
      </c>
      <c r="G83" s="15" t="s">
        <v>16</v>
      </c>
      <c r="H83" s="28" t="s">
        <v>17</v>
      </c>
      <c r="I83" s="123"/>
      <c r="J83" s="123"/>
      <c r="K83" s="125"/>
      <c r="M83" s="119"/>
      <c r="N83" s="14" t="s">
        <v>16</v>
      </c>
      <c r="O83" s="27" t="s">
        <v>17</v>
      </c>
      <c r="P83" s="15" t="s">
        <v>16</v>
      </c>
      <c r="Q83" s="28" t="s">
        <v>17</v>
      </c>
      <c r="R83" s="15" t="s">
        <v>16</v>
      </c>
      <c r="S83" s="28" t="s">
        <v>17</v>
      </c>
      <c r="T83" s="123"/>
      <c r="U83" s="123"/>
      <c r="V83" s="125"/>
    </row>
    <row r="84" spans="1:22" s="3" customFormat="1" ht="21" hidden="1" customHeight="1" thickTop="1">
      <c r="B84" s="24" t="e" cm="1">
        <f t="array" ref="B84">_xlfn._xlws.SORT(_xlfn._xlws.FILTER(B71:K76,K71:K76&lt;=SMALL(K71:K76,3)),2,-1)</f>
        <v>#REF!</v>
      </c>
      <c r="C84" s="12" t="e">
        <f>#REF!</f>
        <v>#REF!</v>
      </c>
      <c r="D84" s="19" t="e">
        <f>_xlfn.RANK.AVG(C84,C$84:C$86)</f>
        <v>#REF!</v>
      </c>
      <c r="E84" s="12" t="e">
        <f>#REF!</f>
        <v>#REF!</v>
      </c>
      <c r="F84" s="19" t="e">
        <f>_xlfn.RANK.AVG(E84,E$84:E$86)</f>
        <v>#REF!</v>
      </c>
      <c r="G84" s="12" t="e">
        <f>#REF!</f>
        <v>#REF!</v>
      </c>
      <c r="H84" s="19" t="e">
        <f>_xlfn.RANK.AVG(G84,G$84:G$86)</f>
        <v>#REF!</v>
      </c>
      <c r="I84" s="22" t="e">
        <f>(C84+E84+G84)/3*100</f>
        <v>#REF!</v>
      </c>
      <c r="J84" s="21" t="e">
        <f>(D84+F84+H84)</f>
        <v>#REF!</v>
      </c>
      <c r="K84" s="13" t="e">
        <f>_xlfn.RANK.AVG(J84,$J$84:$J$86,1)</f>
        <v>#REF!</v>
      </c>
      <c r="M84" s="24"/>
      <c r="N84" s="12" t="e">
        <f>#REF!</f>
        <v>#REF!</v>
      </c>
      <c r="O84" s="19" t="e">
        <f>_xlfn.RANK.AVG(N84,N$84:N$86)</f>
        <v>#REF!</v>
      </c>
      <c r="P84" s="12" t="e">
        <f>#REF!</f>
        <v>#REF!</v>
      </c>
      <c r="Q84" s="19" t="e">
        <f>_xlfn.RANK.AVG(P84,P$84:P$86)</f>
        <v>#REF!</v>
      </c>
      <c r="R84" s="12" t="e">
        <f>#REF!</f>
        <v>#REF!</v>
      </c>
      <c r="S84" s="19" t="e">
        <f>_xlfn.RANK.AVG(R84,R$84:R$86)</f>
        <v>#REF!</v>
      </c>
      <c r="T84" s="22" t="e">
        <f>(N84+P84+R84)/3*100</f>
        <v>#REF!</v>
      </c>
      <c r="U84" s="21" t="e">
        <f>(O84+Q84+S84)</f>
        <v>#REF!</v>
      </c>
      <c r="V84" s="13" t="e">
        <f>_xlfn.RANK.AVG(U84,$U$84:$U$86,1)</f>
        <v>#REF!</v>
      </c>
    </row>
    <row r="85" spans="1:22" s="3" customFormat="1" ht="21" hidden="1" customHeight="1">
      <c r="B85" s="25"/>
      <c r="C85" s="16" t="e">
        <f>#REF!</f>
        <v>#REF!</v>
      </c>
      <c r="D85" s="20" t="e">
        <f t="shared" ref="D85:D86" si="76">_xlfn.RANK.AVG(C85,C$84:C$86)</f>
        <v>#REF!</v>
      </c>
      <c r="E85" s="16" t="e">
        <f>#REF!</f>
        <v>#REF!</v>
      </c>
      <c r="F85" s="20" t="e">
        <f t="shared" ref="F85:F86" si="77">_xlfn.RANK.AVG(E85,E$84:E$86)</f>
        <v>#REF!</v>
      </c>
      <c r="G85" s="16" t="e">
        <f>#REF!</f>
        <v>#REF!</v>
      </c>
      <c r="H85" s="20" t="e">
        <f t="shared" ref="H85:H86" si="78">_xlfn.RANK.AVG(G85,G$84:G$86)</f>
        <v>#REF!</v>
      </c>
      <c r="I85" s="23" t="e">
        <f>(C85+E85+G85)/3*100</f>
        <v>#REF!</v>
      </c>
      <c r="J85" s="102" t="e">
        <f>(D85+F85+H85)</f>
        <v>#REF!</v>
      </c>
      <c r="K85" s="17" t="e">
        <f t="shared" ref="K85:K86" si="79">_xlfn.RANK.AVG(J85,$J$84:$J$86,1)</f>
        <v>#REF!</v>
      </c>
      <c r="M85" s="25"/>
      <c r="N85" s="16" t="e">
        <f>#REF!</f>
        <v>#REF!</v>
      </c>
      <c r="O85" s="20" t="e">
        <f t="shared" ref="O85:O86" si="80">_xlfn.RANK.AVG(N85,N$84:N$86)</f>
        <v>#REF!</v>
      </c>
      <c r="P85" s="16" t="e">
        <f>#REF!</f>
        <v>#REF!</v>
      </c>
      <c r="Q85" s="20" t="e">
        <f t="shared" ref="Q85:Q86" si="81">_xlfn.RANK.AVG(P85,P$84:P$86)</f>
        <v>#REF!</v>
      </c>
      <c r="R85" s="16" t="e">
        <f>#REF!</f>
        <v>#REF!</v>
      </c>
      <c r="S85" s="20" t="e">
        <f t="shared" ref="S85:S86" si="82">_xlfn.RANK.AVG(R85,R$84:R$86)</f>
        <v>#REF!</v>
      </c>
      <c r="T85" s="23" t="e">
        <f>(N85+P85+R85)/3*100</f>
        <v>#REF!</v>
      </c>
      <c r="U85" s="102" t="e">
        <f>(O85+Q85+S85)</f>
        <v>#REF!</v>
      </c>
      <c r="V85" s="17" t="e">
        <f t="shared" ref="V85:V86" si="83">_xlfn.RANK.AVG(U85,$U$84:$U$86,1)</f>
        <v>#REF!</v>
      </c>
    </row>
    <row r="86" spans="1:22" s="3" customFormat="1" ht="21" hidden="1" customHeight="1">
      <c r="B86" s="25"/>
      <c r="C86" s="16" t="e">
        <f>#REF!</f>
        <v>#REF!</v>
      </c>
      <c r="D86" s="20" t="e">
        <f t="shared" si="76"/>
        <v>#REF!</v>
      </c>
      <c r="E86" s="16" t="e">
        <f>#REF!</f>
        <v>#REF!</v>
      </c>
      <c r="F86" s="20" t="e">
        <f t="shared" si="77"/>
        <v>#REF!</v>
      </c>
      <c r="G86" s="16" t="e">
        <f>#REF!</f>
        <v>#REF!</v>
      </c>
      <c r="H86" s="20" t="e">
        <f t="shared" si="78"/>
        <v>#REF!</v>
      </c>
      <c r="I86" s="23" t="e">
        <f t="shared" ref="I86" si="84">(C86+E86+G86)/3*100</f>
        <v>#REF!</v>
      </c>
      <c r="J86" s="102" t="e">
        <f t="shared" ref="J86" si="85">(D86+F86+H86)</f>
        <v>#REF!</v>
      </c>
      <c r="K86" s="17" t="e">
        <f t="shared" si="79"/>
        <v>#REF!</v>
      </c>
      <c r="M86" s="25"/>
      <c r="N86" s="16" t="e">
        <f>#REF!</f>
        <v>#REF!</v>
      </c>
      <c r="O86" s="20" t="e">
        <f t="shared" si="80"/>
        <v>#REF!</v>
      </c>
      <c r="P86" s="16" t="e">
        <f>#REF!</f>
        <v>#REF!</v>
      </c>
      <c r="Q86" s="20" t="e">
        <f t="shared" si="81"/>
        <v>#REF!</v>
      </c>
      <c r="R86" s="16" t="e">
        <f>#REF!</f>
        <v>#REF!</v>
      </c>
      <c r="S86" s="20" t="e">
        <f t="shared" si="82"/>
        <v>#REF!</v>
      </c>
      <c r="T86" s="23" t="e">
        <f t="shared" ref="T86" si="86">(N86+P86+R86)/3*100</f>
        <v>#REF!</v>
      </c>
      <c r="U86" s="102" t="e">
        <f t="shared" ref="U86" si="87">(O86+Q86+S86)</f>
        <v>#REF!</v>
      </c>
      <c r="V86" s="17" t="e">
        <f t="shared" si="83"/>
        <v>#REF!</v>
      </c>
    </row>
    <row r="87" spans="1:22" ht="20.25" hidden="1">
      <c r="B87" s="116" t="s">
        <v>30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</row>
    <row r="88" spans="1:22" ht="9.75" hidden="1" customHeight="1"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22" ht="18" hidden="1" customHeight="1">
      <c r="B89" s="117" t="s">
        <v>7</v>
      </c>
      <c r="C89" s="117"/>
      <c r="D89" s="117"/>
      <c r="E89" s="117"/>
      <c r="F89" s="117"/>
      <c r="G89" s="117"/>
      <c r="H89" s="117"/>
      <c r="I89" s="117"/>
      <c r="J89" s="117"/>
      <c r="K89" s="117"/>
      <c r="M89" s="117" t="s">
        <v>8</v>
      </c>
      <c r="N89" s="117"/>
      <c r="O89" s="117"/>
      <c r="P89" s="117"/>
      <c r="Q89" s="117"/>
      <c r="R89" s="117"/>
      <c r="S89" s="117"/>
      <c r="T89" s="117"/>
      <c r="U89" s="117"/>
      <c r="V89" s="117"/>
    </row>
    <row r="90" spans="1:22" ht="7.5" hidden="1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.75" hidden="1" customHeight="1">
      <c r="B91" s="118" t="s">
        <v>9</v>
      </c>
      <c r="C91" s="120" t="s">
        <v>10</v>
      </c>
      <c r="D91" s="121"/>
      <c r="E91" s="120" t="s">
        <v>11</v>
      </c>
      <c r="F91" s="121"/>
      <c r="G91" s="120" t="s">
        <v>12</v>
      </c>
      <c r="H91" s="121"/>
      <c r="I91" s="122" t="s">
        <v>13</v>
      </c>
      <c r="J91" s="122" t="s">
        <v>14</v>
      </c>
      <c r="K91" s="124" t="s">
        <v>15</v>
      </c>
      <c r="M91" s="118" t="s">
        <v>9</v>
      </c>
      <c r="N91" s="120" t="s">
        <v>10</v>
      </c>
      <c r="O91" s="121"/>
      <c r="P91" s="120" t="s">
        <v>11</v>
      </c>
      <c r="Q91" s="121"/>
      <c r="R91" s="120" t="s">
        <v>12</v>
      </c>
      <c r="S91" s="121"/>
      <c r="T91" s="122" t="s">
        <v>13</v>
      </c>
      <c r="U91" s="122" t="s">
        <v>14</v>
      </c>
      <c r="V91" s="124" t="s">
        <v>15</v>
      </c>
    </row>
    <row r="92" spans="1:22" ht="17.25" hidden="1" customHeight="1" thickBot="1">
      <c r="B92" s="119"/>
      <c r="C92" s="14" t="s">
        <v>16</v>
      </c>
      <c r="D92" s="27" t="s">
        <v>17</v>
      </c>
      <c r="E92" s="15" t="s">
        <v>16</v>
      </c>
      <c r="F92" s="28" t="s">
        <v>17</v>
      </c>
      <c r="G92" s="15" t="s">
        <v>16</v>
      </c>
      <c r="H92" s="28" t="s">
        <v>17</v>
      </c>
      <c r="I92" s="123"/>
      <c r="J92" s="123"/>
      <c r="K92" s="125"/>
      <c r="M92" s="119"/>
      <c r="N92" s="14" t="s">
        <v>16</v>
      </c>
      <c r="O92" s="27" t="s">
        <v>17</v>
      </c>
      <c r="P92" s="15" t="s">
        <v>16</v>
      </c>
      <c r="Q92" s="28" t="s">
        <v>17</v>
      </c>
      <c r="R92" s="15" t="s">
        <v>16</v>
      </c>
      <c r="S92" s="28" t="s">
        <v>17</v>
      </c>
      <c r="T92" s="123"/>
      <c r="U92" s="123"/>
      <c r="V92" s="125"/>
    </row>
    <row r="93" spans="1:22" s="3" customFormat="1" ht="21" hidden="1" customHeight="1" thickTop="1">
      <c r="B93" s="24" t="e">
        <f>INDEX(B71:B76,MATCH(SMALL(K71:K76,1),K71:K76,0))</f>
        <v>#REF!</v>
      </c>
      <c r="C93" s="12">
        <f>('[2]Casual Interview'!$G68/100)*100</f>
        <v>0</v>
      </c>
      <c r="D93" s="19" t="e">
        <f>_xlfn.RANK.AVG(C93,$C$41:$C$46)</f>
        <v>#N/A</v>
      </c>
      <c r="E93" s="12">
        <f>('[2]Casual Interview'!$G68/100)*100</f>
        <v>0</v>
      </c>
      <c r="F93" s="19" t="e">
        <f t="shared" ref="F93" si="88">_xlfn.RANK.AVG(E93,$E$41:$E$46)</f>
        <v>#N/A</v>
      </c>
      <c r="G93" s="12">
        <f>('[2]Casual Interview'!$G68/100)*100</f>
        <v>0</v>
      </c>
      <c r="H93" s="19" t="e">
        <f>_xlfn.RANK.AVG(G93,G$41:G$46)</f>
        <v>#N/A</v>
      </c>
      <c r="I93" s="22">
        <f>(C93+E93+G93)/3*100</f>
        <v>0</v>
      </c>
      <c r="J93" s="22" t="e">
        <f t="shared" ref="J93:J95" si="89">(D93+F93+H93)</f>
        <v>#N/A</v>
      </c>
      <c r="K93" s="13" t="e">
        <f>_xlfn.RANK.AVG(J93,J$41:J$46,1)</f>
        <v>#N/A</v>
      </c>
      <c r="M93" s="24">
        <v>1</v>
      </c>
      <c r="N93" s="12">
        <f>('[2]Casual Interview'!$O68/100)*100</f>
        <v>0</v>
      </c>
      <c r="O93" s="19" t="e">
        <f>_xlfn.RANK.AVG(N93,$N$41:$N$46)</f>
        <v>#N/A</v>
      </c>
      <c r="P93" s="12">
        <f>('[2]Casual Interview'!$O68/100)*100</f>
        <v>0</v>
      </c>
      <c r="Q93" s="19" t="e">
        <f>_xlfn.RANK.AVG(P93,P$41:P$46)</f>
        <v>#N/A</v>
      </c>
      <c r="R93" s="12">
        <f>('[2]Casual Interview'!$O68/100)*100</f>
        <v>0</v>
      </c>
      <c r="S93" s="19" t="e">
        <f>_xlfn.RANK.AVG(R93,R$41:R$46)</f>
        <v>#N/A</v>
      </c>
      <c r="T93" s="22">
        <f>(N93+P93+R93)/3*100</f>
        <v>0</v>
      </c>
      <c r="U93" s="21" t="e">
        <f>(O93+Q93+S93)</f>
        <v>#N/A</v>
      </c>
      <c r="V93" s="13" t="e">
        <f>_xlfn.RANK.AVG(U93,U$41:U$46,1)</f>
        <v>#N/A</v>
      </c>
    </row>
    <row r="94" spans="1:22" s="3" customFormat="1" ht="21" hidden="1" customHeight="1">
      <c r="B94" s="25">
        <v>2</v>
      </c>
      <c r="C94" s="16">
        <f>('[2]Casual Interview'!$G69/100)*100</f>
        <v>0</v>
      </c>
      <c r="D94" s="20" t="e">
        <f t="shared" ref="D94:D95" si="90">_xlfn.RANK.AVG(C94,$C$41:$C$46)</f>
        <v>#N/A</v>
      </c>
      <c r="E94" s="16">
        <f>('[2]Casual Interview'!$G69/100)*100</f>
        <v>0</v>
      </c>
      <c r="F94" s="20" t="e">
        <f>_xlfn.RANK.AVG(E94,$E$41:$E$46)</f>
        <v>#N/A</v>
      </c>
      <c r="G94" s="16">
        <f>('[2]Casual Interview'!$G69/100)*100</f>
        <v>0</v>
      </c>
      <c r="H94" s="20" t="e">
        <f t="shared" ref="H94:H95" si="91">_xlfn.RANK.AVG(G94,G$41:G$46)</f>
        <v>#N/A</v>
      </c>
      <c r="I94" s="23">
        <f t="shared" ref="I94:I95" si="92">(C94+E94+G94)/3*100</f>
        <v>0</v>
      </c>
      <c r="J94" s="44" t="e">
        <f t="shared" si="89"/>
        <v>#N/A</v>
      </c>
      <c r="K94" s="17" t="e">
        <f t="shared" ref="K94:K95" si="93">_xlfn.RANK.AVG(J94,J$41:J$46,1)</f>
        <v>#N/A</v>
      </c>
      <c r="M94" s="25">
        <v>2</v>
      </c>
      <c r="N94" s="16">
        <f>('[2]Casual Interview'!$O69/100)*100</f>
        <v>0</v>
      </c>
      <c r="O94" s="20" t="e">
        <f t="shared" ref="O94:O95" si="94">_xlfn.RANK.AVG(N94,$N$41:$N$46)</f>
        <v>#N/A</v>
      </c>
      <c r="P94" s="16">
        <f>('[2]Casual Interview'!$O69/100)*100</f>
        <v>0</v>
      </c>
      <c r="Q94" s="20" t="e">
        <f t="shared" ref="Q94:Q95" si="95">_xlfn.RANK.AVG(P94,P$41:P$46)</f>
        <v>#N/A</v>
      </c>
      <c r="R94" s="16">
        <f>('[2]Casual Interview'!$O69/100)*100</f>
        <v>0</v>
      </c>
      <c r="S94" s="20" t="e">
        <f t="shared" ref="S94:S95" si="96">_xlfn.RANK.AVG(R94,R$41:R$46)</f>
        <v>#N/A</v>
      </c>
      <c r="T94" s="23">
        <f t="shared" ref="T94:T95" si="97">(N94+P94+R94)/3*100</f>
        <v>0</v>
      </c>
      <c r="U94" s="102" t="e">
        <f t="shared" ref="U94:U95" si="98">(O94+Q94+S94)</f>
        <v>#N/A</v>
      </c>
      <c r="V94" s="17" t="e">
        <f t="shared" ref="V94:V95" si="99">_xlfn.RANK.AVG(U94,U$41:U$46,1)</f>
        <v>#N/A</v>
      </c>
    </row>
    <row r="95" spans="1:22" s="3" customFormat="1" ht="21" hidden="1" customHeight="1" thickBot="1">
      <c r="A95" s="18"/>
      <c r="B95" s="29">
        <v>6</v>
      </c>
      <c r="C95" s="30">
        <f>('[2]Casual Interview'!$G73/100)*100</f>
        <v>0</v>
      </c>
      <c r="D95" s="31" t="e">
        <f t="shared" si="90"/>
        <v>#N/A</v>
      </c>
      <c r="E95" s="30">
        <f>('[2]Casual Interview'!$G73/100)*100</f>
        <v>0</v>
      </c>
      <c r="F95" s="31" t="e">
        <f t="shared" ref="F95" si="100">_xlfn.RANK.AVG(E95,$E$41:$E$46)</f>
        <v>#N/A</v>
      </c>
      <c r="G95" s="30">
        <f>('[2]Casual Interview'!$G73/100)*100</f>
        <v>0</v>
      </c>
      <c r="H95" s="31" t="e">
        <f t="shared" si="91"/>
        <v>#N/A</v>
      </c>
      <c r="I95" s="32">
        <f t="shared" si="92"/>
        <v>0</v>
      </c>
      <c r="J95" s="45" t="e">
        <f t="shared" si="89"/>
        <v>#N/A</v>
      </c>
      <c r="K95" s="33" t="e">
        <f t="shared" si="93"/>
        <v>#N/A</v>
      </c>
      <c r="M95" s="29">
        <v>6</v>
      </c>
      <c r="N95" s="30">
        <f>('[2]Casual Interview'!$O73/100)*100</f>
        <v>0</v>
      </c>
      <c r="O95" s="31" t="e">
        <f t="shared" si="94"/>
        <v>#N/A</v>
      </c>
      <c r="P95" s="30">
        <f>('[2]Casual Interview'!$O73/100)*100</f>
        <v>0</v>
      </c>
      <c r="Q95" s="31" t="e">
        <f t="shared" si="95"/>
        <v>#N/A</v>
      </c>
      <c r="R95" s="30">
        <f>('[2]Casual Interview'!$O73/100)*100</f>
        <v>0</v>
      </c>
      <c r="S95" s="31" t="e">
        <f t="shared" si="96"/>
        <v>#N/A</v>
      </c>
      <c r="T95" s="32">
        <f t="shared" si="97"/>
        <v>0</v>
      </c>
      <c r="U95" s="97" t="e">
        <f t="shared" si="98"/>
        <v>#N/A</v>
      </c>
      <c r="V95" s="33" t="e">
        <f t="shared" si="99"/>
        <v>#N/A</v>
      </c>
    </row>
    <row r="96" spans="1:22" hidden="1"/>
  </sheetData>
  <mergeCells count="129">
    <mergeCell ref="B82:B83"/>
    <mergeCell ref="C82:D82"/>
    <mergeCell ref="E82:F82"/>
    <mergeCell ref="G82:H82"/>
    <mergeCell ref="I82:I83"/>
    <mergeCell ref="B78:V78"/>
    <mergeCell ref="B80:K80"/>
    <mergeCell ref="M80:V80"/>
    <mergeCell ref="R82:S82"/>
    <mergeCell ref="T82:T83"/>
    <mergeCell ref="U82:U83"/>
    <mergeCell ref="V82:V83"/>
    <mergeCell ref="J82:J83"/>
    <mergeCell ref="K82:K83"/>
    <mergeCell ref="M82:M83"/>
    <mergeCell ref="N82:O82"/>
    <mergeCell ref="P82:Q82"/>
    <mergeCell ref="M68:M70"/>
    <mergeCell ref="N68:S68"/>
    <mergeCell ref="T68:T70"/>
    <mergeCell ref="U68:U70"/>
    <mergeCell ref="V68:V70"/>
    <mergeCell ref="B68:B70"/>
    <mergeCell ref="C68:H68"/>
    <mergeCell ref="I68:I70"/>
    <mergeCell ref="J68:J70"/>
    <mergeCell ref="K68:K70"/>
    <mergeCell ref="C69:D69"/>
    <mergeCell ref="E69:F69"/>
    <mergeCell ref="G69:H69"/>
    <mergeCell ref="N69:O69"/>
    <mergeCell ref="P69:Q69"/>
    <mergeCell ref="R69:S69"/>
    <mergeCell ref="B63:V63"/>
    <mergeCell ref="B64:V64"/>
    <mergeCell ref="B66:K66"/>
    <mergeCell ref="M66:V66"/>
    <mergeCell ref="V53:V55"/>
    <mergeCell ref="C54:E54"/>
    <mergeCell ref="F54:H54"/>
    <mergeCell ref="C53:H53"/>
    <mergeCell ref="N53:S53"/>
    <mergeCell ref="N54:P54"/>
    <mergeCell ref="Q54:S54"/>
    <mergeCell ref="B48:V48"/>
    <mergeCell ref="B51:K51"/>
    <mergeCell ref="M51:V51"/>
    <mergeCell ref="B53:B55"/>
    <mergeCell ref="I53:I55"/>
    <mergeCell ref="J53:J55"/>
    <mergeCell ref="K53:K55"/>
    <mergeCell ref="M53:M55"/>
    <mergeCell ref="T53:T55"/>
    <mergeCell ref="U53:U55"/>
    <mergeCell ref="B49:V49"/>
    <mergeCell ref="B2:V2"/>
    <mergeCell ref="B3:V3"/>
    <mergeCell ref="B4:V4"/>
    <mergeCell ref="A7:V7"/>
    <mergeCell ref="M13:M14"/>
    <mergeCell ref="N13:O13"/>
    <mergeCell ref="P13:Q13"/>
    <mergeCell ref="R13:S13"/>
    <mergeCell ref="T13:T14"/>
    <mergeCell ref="M11:V11"/>
    <mergeCell ref="B9:V9"/>
    <mergeCell ref="B11:K11"/>
    <mergeCell ref="B5:D5"/>
    <mergeCell ref="B6:D6"/>
    <mergeCell ref="C13:D13"/>
    <mergeCell ref="E13:F13"/>
    <mergeCell ref="G13:H13"/>
    <mergeCell ref="I13:I14"/>
    <mergeCell ref="J13:J14"/>
    <mergeCell ref="K13:K14"/>
    <mergeCell ref="B13:B14"/>
    <mergeCell ref="B22:V22"/>
    <mergeCell ref="B24:K24"/>
    <mergeCell ref="M24:V24"/>
    <mergeCell ref="B26:B27"/>
    <mergeCell ref="T26:T27"/>
    <mergeCell ref="U13:U14"/>
    <mergeCell ref="V13:V14"/>
    <mergeCell ref="U26:U27"/>
    <mergeCell ref="V26:V27"/>
    <mergeCell ref="K26:K27"/>
    <mergeCell ref="M26:M27"/>
    <mergeCell ref="N26:O26"/>
    <mergeCell ref="P26:Q26"/>
    <mergeCell ref="R26:S26"/>
    <mergeCell ref="C26:D26"/>
    <mergeCell ref="E26:F26"/>
    <mergeCell ref="G26:H26"/>
    <mergeCell ref="I26:I27"/>
    <mergeCell ref="J26:J27"/>
    <mergeCell ref="B35:V35"/>
    <mergeCell ref="B37:K37"/>
    <mergeCell ref="M37:V37"/>
    <mergeCell ref="B39:B40"/>
    <mergeCell ref="C39:D39"/>
    <mergeCell ref="E39:F39"/>
    <mergeCell ref="G39:H39"/>
    <mergeCell ref="I39:I40"/>
    <mergeCell ref="J39:J40"/>
    <mergeCell ref="K39:K40"/>
    <mergeCell ref="M39:M40"/>
    <mergeCell ref="N39:O39"/>
    <mergeCell ref="P39:Q39"/>
    <mergeCell ref="R39:S39"/>
    <mergeCell ref="T39:T40"/>
    <mergeCell ref="U39:U40"/>
    <mergeCell ref="V39:V40"/>
    <mergeCell ref="B87:V87"/>
    <mergeCell ref="B89:K89"/>
    <mergeCell ref="M89:V89"/>
    <mergeCell ref="B91:B92"/>
    <mergeCell ref="C91:D91"/>
    <mergeCell ref="E91:F91"/>
    <mergeCell ref="G91:H91"/>
    <mergeCell ref="I91:I92"/>
    <mergeCell ref="J91:J92"/>
    <mergeCell ref="K91:K92"/>
    <mergeCell ref="M91:M92"/>
    <mergeCell ref="N91:O91"/>
    <mergeCell ref="P91:Q91"/>
    <mergeCell ref="R91:S91"/>
    <mergeCell ref="T91:T92"/>
    <mergeCell ref="U91:U92"/>
    <mergeCell ref="V91:V92"/>
  </mergeCells>
  <phoneticPr fontId="5" type="noConversion"/>
  <conditionalFormatting sqref="D15:D20">
    <cfRule type="top10" dxfId="65" priority="124" bottom="1" rank="3"/>
  </conditionalFormatting>
  <conditionalFormatting sqref="D21">
    <cfRule type="aboveAverage" dxfId="64" priority="98" aboveAverage="0"/>
  </conditionalFormatting>
  <conditionalFormatting sqref="D28:D33">
    <cfRule type="top10" dxfId="63" priority="144" bottom="1" rank="3"/>
  </conditionalFormatting>
  <conditionalFormatting sqref="D41:D47">
    <cfRule type="top10" dxfId="62" priority="10" bottom="1" rank="3"/>
  </conditionalFormatting>
  <conditionalFormatting sqref="D84:D86">
    <cfRule type="top10" dxfId="61" priority="27" bottom="1" rank="3"/>
  </conditionalFormatting>
  <conditionalFormatting sqref="D93:D95">
    <cfRule type="top10" dxfId="60" priority="177" bottom="1" rank="3"/>
  </conditionalFormatting>
  <conditionalFormatting sqref="E56:E61">
    <cfRule type="top10" dxfId="59" priority="161" bottom="1" rank="3"/>
  </conditionalFormatting>
  <conditionalFormatting sqref="F15:F20">
    <cfRule type="top10" dxfId="58" priority="126" bottom="1" rank="3"/>
  </conditionalFormatting>
  <conditionalFormatting sqref="F28:F33">
    <cfRule type="top10" dxfId="57" priority="146" bottom="1" rank="3"/>
  </conditionalFormatting>
  <conditionalFormatting sqref="F41:F46">
    <cfRule type="top10" dxfId="56" priority="9" bottom="1" rank="3"/>
  </conditionalFormatting>
  <conditionalFormatting sqref="F47">
    <cfRule type="top10" dxfId="55" priority="11" bottom="1" rank="3"/>
  </conditionalFormatting>
  <conditionalFormatting sqref="F84">
    <cfRule type="top10" dxfId="54" priority="19" bottom="1" rank="3"/>
  </conditionalFormatting>
  <conditionalFormatting sqref="F85:F86">
    <cfRule type="top10" dxfId="53" priority="25" bottom="1" rank="3"/>
    <cfRule type="aboveAverage" dxfId="52" priority="28" aboveAverage="0"/>
  </conditionalFormatting>
  <conditionalFormatting sqref="F93:F95">
    <cfRule type="top10" dxfId="51" priority="191" bottom="1" rank="3"/>
  </conditionalFormatting>
  <conditionalFormatting sqref="H15:H20">
    <cfRule type="top10" dxfId="50" priority="128" bottom="1" rank="3"/>
  </conditionalFormatting>
  <conditionalFormatting sqref="H21 D21 F15:F21">
    <cfRule type="aboveAverage" dxfId="49" priority="95" aboveAverage="0"/>
  </conditionalFormatting>
  <conditionalFormatting sqref="H28:H33">
    <cfRule type="top10" dxfId="48" priority="148" bottom="1" rank="3"/>
  </conditionalFormatting>
  <conditionalFormatting sqref="H41:H47">
    <cfRule type="top10" dxfId="47" priority="12" bottom="1" rank="3"/>
  </conditionalFormatting>
  <conditionalFormatting sqref="H56:H61">
    <cfRule type="top10" dxfId="46" priority="163" bottom="1" rank="3"/>
  </conditionalFormatting>
  <conditionalFormatting sqref="H84">
    <cfRule type="top10" dxfId="45" priority="18" bottom="1" rank="3"/>
  </conditionalFormatting>
  <conditionalFormatting sqref="H85:H86">
    <cfRule type="top10" dxfId="44" priority="24" bottom="1" rank="3"/>
  </conditionalFormatting>
  <conditionalFormatting sqref="H93:H95">
    <cfRule type="top10" dxfId="43" priority="179" bottom="1" rank="3"/>
  </conditionalFormatting>
  <conditionalFormatting sqref="K15:K20">
    <cfRule type="top10" dxfId="42" priority="133" bottom="1" rank="3"/>
  </conditionalFormatting>
  <conditionalFormatting sqref="K28:K33">
    <cfRule type="top10" dxfId="41" priority="152" bottom="1" rank="3"/>
  </conditionalFormatting>
  <conditionalFormatting sqref="K41:K47">
    <cfRule type="top10" dxfId="40" priority="13" bottom="1" rank="3"/>
  </conditionalFormatting>
  <conditionalFormatting sqref="K56:K61">
    <cfRule type="top10" dxfId="39" priority="167" bottom="1" rank="3"/>
  </conditionalFormatting>
  <conditionalFormatting sqref="K62:K63 K34 K21">
    <cfRule type="aboveAverage" dxfId="38" priority="100" aboveAverage="0"/>
  </conditionalFormatting>
  <conditionalFormatting sqref="K71:K76">
    <cfRule type="top10" dxfId="37" priority="174" bottom="1" rank="3"/>
  </conditionalFormatting>
  <conditionalFormatting sqref="K84:K86">
    <cfRule type="top10" dxfId="36" priority="26" bottom="1" rank="3"/>
  </conditionalFormatting>
  <conditionalFormatting sqref="K93:K95">
    <cfRule type="top10" dxfId="35" priority="181" bottom="1" rank="3"/>
  </conditionalFormatting>
  <conditionalFormatting sqref="O15:O20">
    <cfRule type="top10" dxfId="34" priority="137" bottom="1" rank="3"/>
  </conditionalFormatting>
  <conditionalFormatting sqref="O28:O33">
    <cfRule type="top10" dxfId="33" priority="154" bottom="1" rank="3"/>
  </conditionalFormatting>
  <conditionalFormatting sqref="O41:O47">
    <cfRule type="top10" dxfId="32" priority="14" bottom="1" rank="3"/>
  </conditionalFormatting>
  <conditionalFormatting sqref="O84:O86">
    <cfRule type="top10" dxfId="31" priority="23" bottom="1" rank="3"/>
  </conditionalFormatting>
  <conditionalFormatting sqref="O93:O95">
    <cfRule type="top10" dxfId="30" priority="183" bottom="1" rank="3"/>
  </conditionalFormatting>
  <conditionalFormatting sqref="P56:P61">
    <cfRule type="top10" dxfId="29" priority="169" bottom="1" rank="3"/>
  </conditionalFormatting>
  <conditionalFormatting sqref="Q15:Q20">
    <cfRule type="top10" dxfId="28" priority="139" bottom="1" rank="3"/>
  </conditionalFormatting>
  <conditionalFormatting sqref="Q28:Q33">
    <cfRule type="top10" dxfId="27" priority="156" bottom="1" rank="3"/>
  </conditionalFormatting>
  <conditionalFormatting sqref="Q41:Q47">
    <cfRule type="top10" dxfId="26" priority="15" bottom="1" rank="3"/>
  </conditionalFormatting>
  <conditionalFormatting sqref="Q84:Q86">
    <cfRule type="top10" dxfId="25" priority="21" bottom="1" rank="3"/>
  </conditionalFormatting>
  <conditionalFormatting sqref="Q93:Q95">
    <cfRule type="top10" dxfId="24" priority="185" bottom="1" rank="3"/>
  </conditionalFormatting>
  <conditionalFormatting sqref="S15:S20">
    <cfRule type="top10" dxfId="23" priority="141" bottom="1" rank="3"/>
  </conditionalFormatting>
  <conditionalFormatting sqref="S28:S33">
    <cfRule type="top10" dxfId="22" priority="158" bottom="1" rank="3"/>
  </conditionalFormatting>
  <conditionalFormatting sqref="S41:S47">
    <cfRule type="top10" dxfId="21" priority="16" bottom="1" rank="3"/>
  </conditionalFormatting>
  <conditionalFormatting sqref="S56:S61">
    <cfRule type="top10" dxfId="20" priority="171" bottom="1" rank="3"/>
  </conditionalFormatting>
  <conditionalFormatting sqref="S84:S86">
    <cfRule type="top10" dxfId="19" priority="20" bottom="1" rank="3"/>
  </conditionalFormatting>
  <conditionalFormatting sqref="S93:S95">
    <cfRule type="top10" dxfId="18" priority="187" bottom="1" rank="3"/>
  </conditionalFormatting>
  <conditionalFormatting sqref="V15:V20">
    <cfRule type="top10" dxfId="17" priority="143" bottom="1" rank="3"/>
  </conditionalFormatting>
  <conditionalFormatting sqref="V28:V33">
    <cfRule type="top10" dxfId="16" priority="160" bottom="1" rank="3"/>
  </conditionalFormatting>
  <conditionalFormatting sqref="V41:V47">
    <cfRule type="top10" dxfId="15" priority="17" bottom="1" rank="3"/>
  </conditionalFormatting>
  <conditionalFormatting sqref="V56:V61">
    <cfRule type="top10" dxfId="14" priority="173" bottom="1" rank="3"/>
  </conditionalFormatting>
  <conditionalFormatting sqref="V71:V76">
    <cfRule type="top10" dxfId="13" priority="176" bottom="1" rank="3"/>
  </conditionalFormatting>
  <conditionalFormatting sqref="V84:V86">
    <cfRule type="top10" dxfId="12" priority="22" bottom="1" rank="3"/>
  </conditionalFormatting>
  <conditionalFormatting sqref="V93:V95">
    <cfRule type="top10" dxfId="11" priority="189" bottom="1" rank="3"/>
  </conditionalFormatting>
  <pageMargins left="0.70866141732283472" right="0.70866141732283472" top="0.74803149606299213" bottom="0.74803149606299213" header="0.31496062992125984" footer="0.31496062992125984"/>
  <pageSetup paperSize="14" scale="5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8D94-D557-495A-86AB-C828FEA23AE6}">
  <sheetPr>
    <pageSetUpPr fitToPage="1"/>
  </sheetPr>
  <dimension ref="A2:V33"/>
  <sheetViews>
    <sheetView showGridLines="0" topLeftCell="F1" zoomScale="108" zoomScaleNormal="120" zoomScaleSheetLayoutView="130" workbookViewId="0">
      <selection activeCell="B19" sqref="B19"/>
    </sheetView>
  </sheetViews>
  <sheetFormatPr defaultRowHeight="15"/>
  <cols>
    <col min="1" max="1" width="6.140625" hidden="1" customWidth="1"/>
    <col min="2" max="2" width="18.5703125" customWidth="1"/>
    <col min="3" max="8" width="10" customWidth="1"/>
    <col min="9" max="9" width="11.5703125" customWidth="1"/>
    <col min="10" max="11" width="14.28515625" customWidth="1"/>
    <col min="12" max="12" width="4.5703125" customWidth="1"/>
    <col min="13" max="13" width="18.5703125" customWidth="1"/>
    <col min="14" max="19" width="10" customWidth="1"/>
    <col min="20" max="22" width="14.28515625" customWidth="1"/>
  </cols>
  <sheetData>
    <row r="2" spans="1:22" ht="25.5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3" spans="1:22" ht="20.25">
      <c r="B3" s="114" t="s">
        <v>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</row>
    <row r="4" spans="1:22">
      <c r="B4" s="115" t="s">
        <v>4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</row>
    <row r="5" spans="1:22">
      <c r="B5" s="110"/>
      <c r="C5" s="110"/>
      <c r="D5" s="110"/>
    </row>
    <row r="6" spans="1:22" ht="27.75" customHeight="1">
      <c r="B6" s="110"/>
      <c r="C6" s="110"/>
      <c r="D6" s="110"/>
      <c r="E6" s="4"/>
      <c r="F6" s="4"/>
      <c r="G6" s="4"/>
      <c r="H6" s="4"/>
      <c r="I6" s="4"/>
      <c r="J6" s="4"/>
      <c r="K6" s="4"/>
    </row>
    <row r="7" spans="1:22" ht="25.5" customHeight="1">
      <c r="A7" s="126" t="s">
        <v>31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</row>
    <row r="8" spans="1:22" ht="18">
      <c r="B8" s="2"/>
      <c r="C8" s="2"/>
      <c r="D8" s="2"/>
      <c r="E8" s="2"/>
      <c r="F8" s="2"/>
      <c r="G8" s="2"/>
      <c r="H8" s="2"/>
      <c r="I8" s="2"/>
      <c r="J8" s="2"/>
      <c r="K8" s="2"/>
    </row>
    <row r="11" spans="1:22" ht="20.25">
      <c r="B11" s="116" t="s">
        <v>29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</row>
    <row r="12" spans="1:22" ht="20.25">
      <c r="B12" s="116" t="s">
        <v>32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</row>
    <row r="13" spans="1:22" ht="9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22" ht="18" customHeight="1">
      <c r="B14" s="117" t="s">
        <v>7</v>
      </c>
      <c r="C14" s="117"/>
      <c r="D14" s="117"/>
      <c r="E14" s="117"/>
      <c r="F14" s="117"/>
      <c r="G14" s="117"/>
      <c r="H14" s="117"/>
      <c r="I14" s="117"/>
      <c r="J14" s="117"/>
      <c r="K14" s="117"/>
      <c r="M14" s="117" t="s">
        <v>8</v>
      </c>
      <c r="N14" s="117"/>
      <c r="O14" s="117"/>
      <c r="P14" s="117"/>
      <c r="Q14" s="117"/>
      <c r="R14" s="117"/>
      <c r="S14" s="117"/>
      <c r="T14" s="117"/>
      <c r="U14" s="117"/>
      <c r="V14" s="117"/>
    </row>
    <row r="15" spans="1:22" ht="7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>
      <c r="B16" s="118" t="s">
        <v>9</v>
      </c>
      <c r="C16" s="120" t="s">
        <v>10</v>
      </c>
      <c r="D16" s="121"/>
      <c r="E16" s="120" t="s">
        <v>11</v>
      </c>
      <c r="F16" s="121"/>
      <c r="G16" s="120" t="s">
        <v>12</v>
      </c>
      <c r="H16" s="121"/>
      <c r="I16" s="122" t="s">
        <v>13</v>
      </c>
      <c r="J16" s="122" t="s">
        <v>14</v>
      </c>
      <c r="K16" s="124" t="s">
        <v>15</v>
      </c>
      <c r="M16" s="118" t="s">
        <v>9</v>
      </c>
      <c r="N16" s="120" t="s">
        <v>10</v>
      </c>
      <c r="O16" s="121"/>
      <c r="P16" s="120" t="s">
        <v>11</v>
      </c>
      <c r="Q16" s="121"/>
      <c r="R16" s="120" t="s">
        <v>12</v>
      </c>
      <c r="S16" s="121"/>
      <c r="T16" s="122" t="s">
        <v>13</v>
      </c>
      <c r="U16" s="122" t="s">
        <v>14</v>
      </c>
      <c r="V16" s="124" t="s">
        <v>15</v>
      </c>
    </row>
    <row r="17" spans="2:22" ht="17.25" customHeight="1" thickBot="1">
      <c r="B17" s="119"/>
      <c r="C17" s="14" t="s">
        <v>16</v>
      </c>
      <c r="D17" s="27" t="s">
        <v>17</v>
      </c>
      <c r="E17" s="15" t="s">
        <v>16</v>
      </c>
      <c r="F17" s="28" t="s">
        <v>17</v>
      </c>
      <c r="G17" s="15" t="s">
        <v>16</v>
      </c>
      <c r="H17" s="28" t="s">
        <v>17</v>
      </c>
      <c r="I17" s="123"/>
      <c r="J17" s="123"/>
      <c r="K17" s="125"/>
      <c r="M17" s="119"/>
      <c r="N17" s="14" t="s">
        <v>16</v>
      </c>
      <c r="O17" s="27" t="s">
        <v>17</v>
      </c>
      <c r="P17" s="15" t="s">
        <v>16</v>
      </c>
      <c r="Q17" s="28" t="s">
        <v>17</v>
      </c>
      <c r="R17" s="15" t="s">
        <v>16</v>
      </c>
      <c r="S17" s="28" t="s">
        <v>17</v>
      </c>
      <c r="T17" s="123"/>
      <c r="U17" s="123"/>
      <c r="V17" s="125"/>
    </row>
    <row r="18" spans="2:22" s="3" customFormat="1" ht="21" customHeight="1" thickTop="1">
      <c r="B18" s="24" t="e">
        <f>INDEX('Semi-Final'!B$71:B$76,MATCH(SMALL('Semi-Final'!K$71:K$76,1),'Semi-Final'!K$71:K$76,0))</f>
        <v>#REF!</v>
      </c>
      <c r="C18" s="12" t="e">
        <f>#REF!</f>
        <v>#REF!</v>
      </c>
      <c r="D18" s="19" t="e">
        <f>_xlfn.RANK.AVG(C18,C$18:C$20)</f>
        <v>#REF!</v>
      </c>
      <c r="E18" s="12">
        <f>'[2]Top 3'!$F$16</f>
        <v>0.88</v>
      </c>
      <c r="F18" s="19">
        <f>_xlfn.RANK.AVG(E18,E$18:E$20)</f>
        <v>1</v>
      </c>
      <c r="G18" s="12">
        <f>'[3]Top 3'!$F$16</f>
        <v>0.87</v>
      </c>
      <c r="H18" s="19">
        <f>_xlfn.RANK.AVG(G18,G$18:G$20)</f>
        <v>3</v>
      </c>
      <c r="I18" s="22" t="e">
        <f>(C18+E18+G18)/3*100</f>
        <v>#REF!</v>
      </c>
      <c r="J18" s="21" t="e">
        <f>(D18+F18+H18)</f>
        <v>#REF!</v>
      </c>
      <c r="K18" s="13" t="e">
        <f>_xlfn.RANK.AVG(J18,$J$18:$J$20,1)</f>
        <v>#REF!</v>
      </c>
      <c r="M18" s="24" t="e">
        <f>INDEX('Semi-Final'!M$71:M$76,MATCH(SMALL('Semi-Final'!V$71:V$76,1),'Semi-Final'!V$71:V$76,0))</f>
        <v>#REF!</v>
      </c>
      <c r="N18" s="12" t="e">
        <f>#REF!</f>
        <v>#REF!</v>
      </c>
      <c r="O18" s="19" t="e">
        <f>_xlfn.RANK.AVG(N18,N$18:N$20)</f>
        <v>#REF!</v>
      </c>
      <c r="P18" s="12">
        <f>'[2]Top 3'!$M$16</f>
        <v>0.91</v>
      </c>
      <c r="Q18" s="19">
        <f>_xlfn.RANK.AVG(P18,P$18:P$20)</f>
        <v>2</v>
      </c>
      <c r="R18" s="12">
        <f>'[3]Top 3'!$M$16</f>
        <v>0.95</v>
      </c>
      <c r="S18" s="19">
        <f>_xlfn.RANK.AVG(R18,R$18:R$20)</f>
        <v>1</v>
      </c>
      <c r="T18" s="22" t="e">
        <f>(N18+P18+R18)/3*100</f>
        <v>#REF!</v>
      </c>
      <c r="U18" s="21" t="e">
        <f>(O18+Q18+S18)</f>
        <v>#REF!</v>
      </c>
      <c r="V18" s="13" t="e">
        <f>_xlfn.RANK.AVG(U18,$U$18:$U$20,1)</f>
        <v>#REF!</v>
      </c>
    </row>
    <row r="19" spans="2:22" s="3" customFormat="1" ht="21" customHeight="1">
      <c r="B19" s="25" t="e">
        <f>INDEX('Semi-Final'!B$71:B$76,MATCH(SMALL('Semi-Final'!K$71:K$76,2),'Semi-Final'!K$71:K$76,0))</f>
        <v>#REF!</v>
      </c>
      <c r="C19" s="16" t="e">
        <f>#REF!</f>
        <v>#REF!</v>
      </c>
      <c r="D19" s="20" t="e">
        <f t="shared" ref="D19" si="0">_xlfn.RANK.AVG(C19,C$18:C$20)</f>
        <v>#REF!</v>
      </c>
      <c r="E19" s="16">
        <f>'[2]Top 3'!$F$17</f>
        <v>0.83</v>
      </c>
      <c r="F19" s="20">
        <f t="shared" ref="F19:F20" si="1">_xlfn.RANK.AVG(E19,E$18:E$20)</f>
        <v>3</v>
      </c>
      <c r="G19" s="16">
        <f>'[3]Top 3'!$F$17</f>
        <v>0.91</v>
      </c>
      <c r="H19" s="20">
        <f t="shared" ref="H19:H20" si="2">_xlfn.RANK.AVG(G19,G$18:G$20)</f>
        <v>1</v>
      </c>
      <c r="I19" s="23" t="e">
        <f>(C19+E19+G19)/3*100</f>
        <v>#REF!</v>
      </c>
      <c r="J19" s="102" t="e">
        <f>(D19+F19+H19)</f>
        <v>#REF!</v>
      </c>
      <c r="K19" s="17" t="e">
        <f t="shared" ref="K19:K20" si="3">_xlfn.RANK.AVG(J19,$J$18:$J$20,1)</f>
        <v>#REF!</v>
      </c>
      <c r="M19" s="25" t="e">
        <f>INDEX('Semi-Final'!M$71:M$76,MATCH(SMALL('Semi-Final'!V$71:V$76,2),'Semi-Final'!V$71:V$76,0))</f>
        <v>#REF!</v>
      </c>
      <c r="N19" s="16" t="e">
        <f>#REF!</f>
        <v>#REF!</v>
      </c>
      <c r="O19" s="20" t="e">
        <f t="shared" ref="O19:O20" si="4">_xlfn.RANK.AVG(N19,N$18:N$20)</f>
        <v>#REF!</v>
      </c>
      <c r="P19" s="16">
        <f>'[2]Top 3'!$M$17</f>
        <v>0.92</v>
      </c>
      <c r="Q19" s="20">
        <f t="shared" ref="Q19:Q20" si="5">_xlfn.RANK.AVG(P19,P$18:P$20)</f>
        <v>1</v>
      </c>
      <c r="R19" s="16">
        <f>'[3]Top 3'!$M$17</f>
        <v>0.94</v>
      </c>
      <c r="S19" s="20">
        <f t="shared" ref="S19:S20" si="6">_xlfn.RANK.AVG(R19,R$18:R$20)</f>
        <v>2</v>
      </c>
      <c r="T19" s="23" t="e">
        <f>(N19+P19+R19)/3*100</f>
        <v>#REF!</v>
      </c>
      <c r="U19" s="102" t="e">
        <f>(O19+Q19+S19)</f>
        <v>#REF!</v>
      </c>
      <c r="V19" s="17" t="e">
        <f t="shared" ref="V19:V20" si="7">_xlfn.RANK.AVG(U19,$U$18:$U$20,1)</f>
        <v>#REF!</v>
      </c>
    </row>
    <row r="20" spans="2:22" s="3" customFormat="1" ht="21" customHeight="1" thickBot="1">
      <c r="B20" s="29" t="e">
        <f>INDEX('Semi-Final'!B$71:B$76,MATCH(SMALL('Semi-Final'!K$71:K$76,3),'Semi-Final'!K$71:K$76,0))</f>
        <v>#REF!</v>
      </c>
      <c r="C20" s="30" t="e">
        <f>#REF!</f>
        <v>#REF!</v>
      </c>
      <c r="D20" s="31" t="e">
        <f>_xlfn.RANK.AVG(C20,C$18:C$20)</f>
        <v>#REF!</v>
      </c>
      <c r="E20" s="30">
        <f>'[2]Top 3'!$F$18</f>
        <v>0.86</v>
      </c>
      <c r="F20" s="31">
        <f t="shared" si="1"/>
        <v>2</v>
      </c>
      <c r="G20" s="30">
        <f>'[3]Top 3'!$F$18</f>
        <v>0.9</v>
      </c>
      <c r="H20" s="31">
        <f t="shared" si="2"/>
        <v>2</v>
      </c>
      <c r="I20" s="32" t="e">
        <f>(C20+E20+G20)/3*100</f>
        <v>#REF!</v>
      </c>
      <c r="J20" s="97" t="e">
        <f t="shared" ref="J20" si="8">(D20+F20+H20)</f>
        <v>#REF!</v>
      </c>
      <c r="K20" s="33" t="e">
        <f t="shared" si="3"/>
        <v>#REF!</v>
      </c>
      <c r="M20" s="29" t="e">
        <f>INDEX('Semi-Final'!M$71:M$76,MATCH(SMALL('Semi-Final'!V$71:V$76,3),'Semi-Final'!V$71:V$76,0))</f>
        <v>#REF!</v>
      </c>
      <c r="N20" s="30" t="e">
        <f>#REF!</f>
        <v>#REF!</v>
      </c>
      <c r="O20" s="31" t="e">
        <f t="shared" si="4"/>
        <v>#REF!</v>
      </c>
      <c r="P20" s="30">
        <f>'[2]Top 3'!$M$18</f>
        <v>0.86</v>
      </c>
      <c r="Q20" s="31">
        <f t="shared" si="5"/>
        <v>3</v>
      </c>
      <c r="R20" s="30">
        <f>'[3]Top 3'!$M$18</f>
        <v>0.93</v>
      </c>
      <c r="S20" s="31">
        <f t="shared" si="6"/>
        <v>3</v>
      </c>
      <c r="T20" s="32" t="e">
        <f t="shared" ref="T20" si="9">(N20+P20+R20)/3*100</f>
        <v>#REF!</v>
      </c>
      <c r="U20" s="97" t="e">
        <f t="shared" ref="U20" si="10">(O20+Q20+S20)</f>
        <v>#REF!</v>
      </c>
      <c r="V20" s="33" t="e">
        <f t="shared" si="7"/>
        <v>#REF!</v>
      </c>
    </row>
    <row r="22" spans="2:22" s="3" customFormat="1" ht="21" customHeight="1">
      <c r="B22" s="63"/>
      <c r="C22" s="64"/>
      <c r="D22" s="64"/>
      <c r="E22" s="65"/>
      <c r="F22" s="64"/>
      <c r="G22" s="64"/>
      <c r="H22" s="65"/>
      <c r="I22" s="64"/>
      <c r="J22" s="66"/>
      <c r="K22" s="67"/>
      <c r="M22" s="63"/>
      <c r="N22" s="64"/>
      <c r="O22" s="64"/>
      <c r="P22" s="65"/>
      <c r="Q22" s="64"/>
      <c r="R22" s="64"/>
      <c r="S22" s="65"/>
      <c r="T22" s="64"/>
      <c r="U22" s="66"/>
      <c r="V22" s="67"/>
    </row>
    <row r="23" spans="2:22" s="3" customFormat="1" ht="21" hidden="1" customHeight="1">
      <c r="B23" s="116" t="s">
        <v>32</v>
      </c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</row>
    <row r="24" spans="2:22" ht="13.5" hidden="1" customHeight="1">
      <c r="B24" s="130" t="s">
        <v>25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</row>
    <row r="25" spans="2:22" ht="13.5" hidden="1" customHeight="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22" ht="15.75" hidden="1">
      <c r="B26" s="117" t="s">
        <v>7</v>
      </c>
      <c r="C26" s="117"/>
      <c r="D26" s="117"/>
      <c r="E26" s="117"/>
      <c r="F26" s="117"/>
      <c r="G26" s="117"/>
      <c r="H26" s="117"/>
      <c r="I26" s="117"/>
      <c r="J26" s="117"/>
      <c r="K26" s="117"/>
      <c r="M26" s="117" t="s">
        <v>8</v>
      </c>
      <c r="N26" s="117"/>
      <c r="O26" s="117"/>
      <c r="P26" s="117"/>
      <c r="Q26" s="117"/>
      <c r="R26" s="117"/>
      <c r="S26" s="117"/>
      <c r="T26" s="117"/>
      <c r="U26" s="117"/>
      <c r="V26" s="117"/>
    </row>
    <row r="27" spans="2:22" ht="18" hidden="1">
      <c r="B27" s="1"/>
      <c r="C27" s="2"/>
      <c r="D27" s="2"/>
      <c r="E27" s="2"/>
      <c r="F27" s="2"/>
      <c r="G27" s="2"/>
      <c r="H27" s="2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ht="21" hidden="1" customHeight="1">
      <c r="B28" s="118" t="s">
        <v>9</v>
      </c>
      <c r="C28" s="134" t="s">
        <v>22</v>
      </c>
      <c r="D28" s="135"/>
      <c r="E28" s="135"/>
      <c r="F28" s="135"/>
      <c r="G28" s="135"/>
      <c r="H28" s="136"/>
      <c r="I28" s="122" t="s">
        <v>14</v>
      </c>
      <c r="J28" s="122" t="s">
        <v>13</v>
      </c>
      <c r="K28" s="124" t="s">
        <v>15</v>
      </c>
      <c r="M28" s="118" t="s">
        <v>9</v>
      </c>
      <c r="N28" s="137" t="s">
        <v>22</v>
      </c>
      <c r="O28" s="138"/>
      <c r="P28" s="138"/>
      <c r="Q28" s="138"/>
      <c r="R28" s="138"/>
      <c r="S28" s="139"/>
      <c r="T28" s="122" t="s">
        <v>14</v>
      </c>
      <c r="U28" s="122" t="s">
        <v>13</v>
      </c>
      <c r="V28" s="124" t="s">
        <v>15</v>
      </c>
    </row>
    <row r="29" spans="2:22" ht="36.75" hidden="1" customHeight="1">
      <c r="B29" s="127"/>
      <c r="C29" s="144" t="s">
        <v>33</v>
      </c>
      <c r="D29" s="145"/>
      <c r="E29" s="146"/>
      <c r="F29" s="133" t="s">
        <v>29</v>
      </c>
      <c r="G29" s="133"/>
      <c r="H29" s="133"/>
      <c r="I29" s="128"/>
      <c r="J29" s="128"/>
      <c r="K29" s="129"/>
      <c r="M29" s="127"/>
      <c r="N29" s="131" t="s">
        <v>6</v>
      </c>
      <c r="O29" s="132"/>
      <c r="P29" s="133"/>
      <c r="Q29" s="133" t="s">
        <v>23</v>
      </c>
      <c r="R29" s="133"/>
      <c r="S29" s="133"/>
      <c r="T29" s="128"/>
      <c r="U29" s="128"/>
      <c r="V29" s="129"/>
    </row>
    <row r="30" spans="2:22" ht="26.25" hidden="1" customHeight="1" thickBot="1">
      <c r="B30" s="119"/>
      <c r="C30" s="39" t="s">
        <v>17</v>
      </c>
      <c r="D30" s="147">
        <v>0.7</v>
      </c>
      <c r="E30" s="148"/>
      <c r="F30" s="39" t="s">
        <v>17</v>
      </c>
      <c r="G30" s="61">
        <v>0.3</v>
      </c>
      <c r="H30" s="62"/>
      <c r="I30" s="123"/>
      <c r="J30" s="123"/>
      <c r="K30" s="125"/>
      <c r="M30" s="119"/>
      <c r="N30" s="39" t="s">
        <v>17</v>
      </c>
      <c r="O30" s="147">
        <v>0.5</v>
      </c>
      <c r="P30" s="148"/>
      <c r="Q30" s="39" t="s">
        <v>17</v>
      </c>
      <c r="R30" s="147">
        <v>0.5</v>
      </c>
      <c r="S30" s="148"/>
      <c r="T30" s="123"/>
      <c r="U30" s="123"/>
      <c r="V30" s="125"/>
    </row>
    <row r="31" spans="2:22" ht="21.75" hidden="1" customHeight="1" thickTop="1">
      <c r="B31" s="24">
        <v>1</v>
      </c>
      <c r="C31" s="38" t="e">
        <f>#REF!</f>
        <v>#REF!</v>
      </c>
      <c r="D31" s="163" t="e">
        <f t="shared" ref="D31" si="11">(C31/100)*50</f>
        <v>#REF!</v>
      </c>
      <c r="E31" s="164"/>
      <c r="F31" s="38" t="e">
        <f>#REF!</f>
        <v>#REF!</v>
      </c>
      <c r="G31" s="165" t="e">
        <f>($F31*0.3)</f>
        <v>#REF!</v>
      </c>
      <c r="H31" s="166"/>
      <c r="I31" s="52" t="e">
        <f>(C31+F31)</f>
        <v>#REF!</v>
      </c>
      <c r="J31" s="46" t="e">
        <f>(D31+G31)/2</f>
        <v>#REF!</v>
      </c>
      <c r="K31" s="13" t="e">
        <f>_xlfn.RANK.AVG(J31,#REF!,1)</f>
        <v>#REF!</v>
      </c>
      <c r="L31" s="3"/>
      <c r="M31" s="24">
        <v>1</v>
      </c>
      <c r="N31" s="38" t="e">
        <f>#REF!</f>
        <v>#REF!</v>
      </c>
      <c r="O31" s="167" t="e">
        <f t="shared" ref="O31:O32" si="12">(N31/100)*50</f>
        <v>#REF!</v>
      </c>
      <c r="P31" s="168"/>
      <c r="Q31" s="38" t="e">
        <f>#REF!</f>
        <v>#REF!</v>
      </c>
      <c r="R31" s="167" t="e">
        <f>($F31*0.5)</f>
        <v>#REF!</v>
      </c>
      <c r="S31" s="169"/>
      <c r="T31" s="52" t="e">
        <f>(N31+Q31)</f>
        <v>#REF!</v>
      </c>
      <c r="U31" s="46" t="e">
        <f>(O31+R31)/2</f>
        <v>#REF!</v>
      </c>
      <c r="V31" s="13" t="e">
        <f>_xlfn.RANK.AVG(U31,#REF!,1)</f>
        <v>#REF!</v>
      </c>
    </row>
    <row r="32" spans="2:22" ht="21.75" hidden="1" customHeight="1">
      <c r="B32" s="25">
        <v>3</v>
      </c>
      <c r="C32" s="103" t="e">
        <f>#REF!</f>
        <v>#REF!</v>
      </c>
      <c r="D32" s="156" t="e">
        <f>(C32/100)*50</f>
        <v>#REF!</v>
      </c>
      <c r="E32" s="157"/>
      <c r="F32" s="103" t="e">
        <f>#REF!</f>
        <v>#REF!</v>
      </c>
      <c r="G32" s="158" t="e">
        <f t="shared" ref="G32:G33" si="13">($F32*0.5)</f>
        <v>#REF!</v>
      </c>
      <c r="H32" s="159"/>
      <c r="I32" s="53" t="e">
        <f t="shared" ref="I32" si="14">(C32+F32)</f>
        <v>#REF!</v>
      </c>
      <c r="J32" s="47" t="e">
        <f t="shared" ref="J32:J33" si="15">(D32+G32)/2</f>
        <v>#REF!</v>
      </c>
      <c r="K32" s="17" t="e">
        <f>_xlfn.RANK.AVG(J32,#REF!,1)</f>
        <v>#REF!</v>
      </c>
      <c r="L32" s="3"/>
      <c r="M32" s="25">
        <v>3</v>
      </c>
      <c r="N32" s="103" t="e">
        <f>#REF!</f>
        <v>#REF!</v>
      </c>
      <c r="O32" s="160" t="e">
        <f t="shared" si="12"/>
        <v>#REF!</v>
      </c>
      <c r="P32" s="161"/>
      <c r="Q32" s="103" t="e">
        <f>#REF!</f>
        <v>#REF!</v>
      </c>
      <c r="R32" s="160" t="e">
        <f t="shared" ref="R32:R33" si="16">($F32*0.5)</f>
        <v>#REF!</v>
      </c>
      <c r="S32" s="162"/>
      <c r="T32" s="53" t="e">
        <f t="shared" ref="T32" si="17">(N32+Q32)</f>
        <v>#REF!</v>
      </c>
      <c r="U32" s="47" t="e">
        <f t="shared" ref="U32:U33" si="18">(O32+R32)/2</f>
        <v>#REF!</v>
      </c>
      <c r="V32" s="17" t="e">
        <f>_xlfn.RANK.AVG(U32,#REF!,1)</f>
        <v>#REF!</v>
      </c>
    </row>
    <row r="33" spans="2:22" ht="21.75" hidden="1" customHeight="1" thickBot="1">
      <c r="B33" s="29">
        <v>12</v>
      </c>
      <c r="C33" s="98" t="e">
        <f>#REF!</f>
        <v>#REF!</v>
      </c>
      <c r="D33" s="149" t="e">
        <f>(C33/100)*50</f>
        <v>#REF!</v>
      </c>
      <c r="E33" s="150"/>
      <c r="F33" s="98" t="e">
        <f>#REF!</f>
        <v>#REF!</v>
      </c>
      <c r="G33" s="151" t="e">
        <f t="shared" si="13"/>
        <v>#REF!</v>
      </c>
      <c r="H33" s="152"/>
      <c r="I33" s="54" t="e">
        <f t="shared" ref="I33" si="19">(C33+F33)</f>
        <v>#REF!</v>
      </c>
      <c r="J33" s="48" t="e">
        <f t="shared" si="15"/>
        <v>#REF!</v>
      </c>
      <c r="K33" s="33" t="e">
        <f>_xlfn.RANK.AVG(J33,#REF!,1)</f>
        <v>#REF!</v>
      </c>
      <c r="L33" s="3"/>
      <c r="M33" s="29">
        <v>12</v>
      </c>
      <c r="N33" s="98" t="e">
        <f>#REF!</f>
        <v>#REF!</v>
      </c>
      <c r="O33" s="153" t="e">
        <f>(N33/100)*50</f>
        <v>#REF!</v>
      </c>
      <c r="P33" s="154"/>
      <c r="Q33" s="98" t="e">
        <f>#REF!</f>
        <v>#REF!</v>
      </c>
      <c r="R33" s="153" t="e">
        <f t="shared" si="16"/>
        <v>#REF!</v>
      </c>
      <c r="S33" s="155"/>
      <c r="T33" s="54" t="e">
        <f t="shared" ref="T33" si="20">(N33+Q33)</f>
        <v>#REF!</v>
      </c>
      <c r="U33" s="48" t="e">
        <f t="shared" si="18"/>
        <v>#REF!</v>
      </c>
      <c r="V33" s="33" t="e">
        <f>_xlfn.RANK.AVG(U33,#REF!,1)</f>
        <v>#REF!</v>
      </c>
    </row>
  </sheetData>
  <sheetProtection algorithmName="SHA-512" hashValue="4W66jUsgbAWb7OM6oN3/6/0NB/CBbwec6pGeBWzgddBo33RhhWO6cWjejnboAdpGEXdxw7yRYC47pWIfIThoCw==" saltValue="5zgpz2jKiaqQTV0HypYqxw==" spinCount="100000" sheet="1" objects="1" scenarios="1"/>
  <mergeCells count="57">
    <mergeCell ref="D33:E33"/>
    <mergeCell ref="G33:H33"/>
    <mergeCell ref="O33:P33"/>
    <mergeCell ref="R33:S33"/>
    <mergeCell ref="D30:E30"/>
    <mergeCell ref="D32:E32"/>
    <mergeCell ref="G32:H32"/>
    <mergeCell ref="O32:P32"/>
    <mergeCell ref="R32:S32"/>
    <mergeCell ref="D31:E31"/>
    <mergeCell ref="G31:H31"/>
    <mergeCell ref="O31:P31"/>
    <mergeCell ref="R31:S31"/>
    <mergeCell ref="T28:T30"/>
    <mergeCell ref="U28:U30"/>
    <mergeCell ref="V28:V30"/>
    <mergeCell ref="C29:E29"/>
    <mergeCell ref="F29:H29"/>
    <mergeCell ref="N29:P29"/>
    <mergeCell ref="Q29:S29"/>
    <mergeCell ref="O30:P30"/>
    <mergeCell ref="R30:S30"/>
    <mergeCell ref="M28:M30"/>
    <mergeCell ref="N28:S28"/>
    <mergeCell ref="B23:V23"/>
    <mergeCell ref="B24:V24"/>
    <mergeCell ref="B26:K26"/>
    <mergeCell ref="M26:V26"/>
    <mergeCell ref="K16:K17"/>
    <mergeCell ref="M16:M17"/>
    <mergeCell ref="N16:O16"/>
    <mergeCell ref="P16:Q16"/>
    <mergeCell ref="R16:S16"/>
    <mergeCell ref="T16:T17"/>
    <mergeCell ref="B16:B17"/>
    <mergeCell ref="C16:D16"/>
    <mergeCell ref="B28:B30"/>
    <mergeCell ref="C28:H28"/>
    <mergeCell ref="I28:I30"/>
    <mergeCell ref="J28:J30"/>
    <mergeCell ref="K28:K30"/>
    <mergeCell ref="A7:V7"/>
    <mergeCell ref="B12:V12"/>
    <mergeCell ref="E16:F16"/>
    <mergeCell ref="G16:H16"/>
    <mergeCell ref="I16:I17"/>
    <mergeCell ref="J16:J17"/>
    <mergeCell ref="B11:V11"/>
    <mergeCell ref="B14:K14"/>
    <mergeCell ref="M14:V14"/>
    <mergeCell ref="U16:U17"/>
    <mergeCell ref="V16:V17"/>
    <mergeCell ref="B2:V2"/>
    <mergeCell ref="B3:V3"/>
    <mergeCell ref="B4:V4"/>
    <mergeCell ref="B5:D5"/>
    <mergeCell ref="B6:D6"/>
  </mergeCells>
  <conditionalFormatting sqref="E22">
    <cfRule type="top10" dxfId="10" priority="192" bottom="1" rank="3"/>
  </conditionalFormatting>
  <conditionalFormatting sqref="H22">
    <cfRule type="top10" dxfId="9" priority="193" bottom="1" rank="3"/>
  </conditionalFormatting>
  <conditionalFormatting sqref="K18:K20">
    <cfRule type="top10" dxfId="8" priority="18" bottom="1" rank="3"/>
  </conditionalFormatting>
  <conditionalFormatting sqref="K22">
    <cfRule type="top10" dxfId="7" priority="194" bottom="1" rank="3"/>
  </conditionalFormatting>
  <conditionalFormatting sqref="K23">
    <cfRule type="aboveAverage" dxfId="6" priority="9" aboveAverage="0"/>
  </conditionalFormatting>
  <conditionalFormatting sqref="K31:K33">
    <cfRule type="top10" dxfId="5" priority="93" bottom="1" rank="3"/>
  </conditionalFormatting>
  <conditionalFormatting sqref="P22">
    <cfRule type="top10" dxfId="4" priority="195" bottom="1" rank="3"/>
  </conditionalFormatting>
  <conditionalFormatting sqref="S22">
    <cfRule type="top10" dxfId="3" priority="196" bottom="1" rank="3"/>
  </conditionalFormatting>
  <conditionalFormatting sqref="V18:V20">
    <cfRule type="top10" dxfId="2" priority="14" bottom="1" rank="3"/>
  </conditionalFormatting>
  <conditionalFormatting sqref="V22">
    <cfRule type="top10" dxfId="1" priority="197" bottom="1" rank="3"/>
  </conditionalFormatting>
  <conditionalFormatting sqref="V31:V33">
    <cfRule type="top10" dxfId="0" priority="95" bottom="1" rank="3"/>
  </conditionalFormatting>
  <pageMargins left="0.70866141732283472" right="0.70866141732283472" top="0.74803149606299213" bottom="0.74803149606299213" header="0.31496062992125984" footer="0.31496062992125984"/>
  <pageSetup paperSize="14" scale="6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458A-7CA7-40F3-816C-1AA015401D4F}">
  <sheetPr>
    <pageSetUpPr fitToPage="1"/>
  </sheetPr>
  <dimension ref="A1:J58"/>
  <sheetViews>
    <sheetView showGridLines="0" showWhiteSpace="0" topLeftCell="A11" zoomScale="145" zoomScaleNormal="145" zoomScalePageLayoutView="87" workbookViewId="0">
      <selection activeCell="I59" sqref="A1:J59"/>
    </sheetView>
  </sheetViews>
  <sheetFormatPr defaultRowHeight="15"/>
  <cols>
    <col min="1" max="1" width="7.5703125" customWidth="1"/>
    <col min="2" max="3" width="17.85546875" customWidth="1"/>
    <col min="4" max="4" width="2.28515625" customWidth="1"/>
    <col min="5" max="6" width="17.85546875" customWidth="1"/>
    <col min="7" max="7" width="2.28515625" customWidth="1"/>
    <col min="8" max="9" width="17.85546875" customWidth="1"/>
    <col min="10" max="10" width="8.5703125" customWidth="1"/>
    <col min="12" max="12" width="12.42578125" customWidth="1"/>
  </cols>
  <sheetData>
    <row r="1" spans="1:10">
      <c r="A1" s="110"/>
      <c r="B1" s="110"/>
      <c r="C1" s="110"/>
      <c r="D1" s="110"/>
    </row>
    <row r="2" spans="1:10" ht="20.25">
      <c r="A2" s="114" t="str">
        <f>Dashboard!A2</f>
        <v>Mister &amp; Miss BISU TROPIKO 2024</v>
      </c>
      <c r="B2" s="114"/>
      <c r="C2" s="114"/>
      <c r="D2" s="114"/>
      <c r="E2" s="114"/>
      <c r="F2" s="114"/>
      <c r="G2" s="114"/>
      <c r="H2" s="114"/>
      <c r="I2" s="114"/>
      <c r="J2" s="114"/>
    </row>
    <row r="3" spans="1:10" ht="15.75">
      <c r="A3" s="177" t="str">
        <f>Dashboard!A3</f>
        <v>HIMAMAT 2024</v>
      </c>
      <c r="B3" s="177"/>
      <c r="C3" s="177"/>
      <c r="D3" s="177"/>
      <c r="E3" s="177"/>
      <c r="F3" s="177"/>
      <c r="G3" s="177"/>
      <c r="H3" s="177"/>
      <c r="I3" s="177"/>
      <c r="J3" s="177"/>
    </row>
    <row r="4" spans="1:10">
      <c r="A4" s="175" t="str">
        <f>Dashboard!A4</f>
        <v>September 6, 2023 | BISU Balilihan Multi-Purpose Covered Court</v>
      </c>
      <c r="B4" s="175"/>
      <c r="C4" s="175"/>
      <c r="D4" s="175"/>
      <c r="E4" s="175"/>
      <c r="F4" s="175"/>
      <c r="G4" s="175"/>
      <c r="H4" s="175"/>
      <c r="I4" s="175"/>
      <c r="J4" s="175"/>
    </row>
    <row r="5" spans="1:10">
      <c r="A5" s="107"/>
      <c r="B5" s="107"/>
      <c r="C5" s="107"/>
      <c r="D5" s="107"/>
      <c r="E5" s="107"/>
      <c r="F5" s="107"/>
      <c r="G5" s="107"/>
      <c r="H5" s="107"/>
      <c r="I5" s="107"/>
      <c r="J5" s="107"/>
    </row>
    <row r="7" spans="1:10" ht="28.5" customHeight="1" thickBot="1">
      <c r="A7" s="174" t="s">
        <v>34</v>
      </c>
      <c r="B7" s="174"/>
      <c r="C7" s="174"/>
      <c r="D7" s="174"/>
      <c r="E7" s="174"/>
      <c r="F7" s="174"/>
      <c r="G7" s="174"/>
      <c r="H7" s="174"/>
      <c r="I7" s="174"/>
      <c r="J7" s="174"/>
    </row>
    <row r="8" spans="1:10" ht="17.25" customHeight="1">
      <c r="B8" s="6"/>
      <c r="C8" s="6"/>
      <c r="D8" s="6"/>
      <c r="E8" s="6"/>
      <c r="F8" s="7"/>
      <c r="G8" s="6"/>
      <c r="H8" s="6"/>
    </row>
    <row r="9" spans="1:10">
      <c r="D9" s="178"/>
      <c r="E9" s="178"/>
      <c r="F9" s="178"/>
    </row>
    <row r="10" spans="1:10">
      <c r="C10" s="10"/>
      <c r="D10" s="171" t="s">
        <v>35</v>
      </c>
      <c r="E10" s="171"/>
      <c r="F10" s="171"/>
      <c r="G10" s="171"/>
    </row>
    <row r="11" spans="1:10" s="55" customFormat="1" ht="13.5" customHeight="1">
      <c r="C11" s="56"/>
      <c r="D11" s="172" t="s">
        <v>22</v>
      </c>
      <c r="E11" s="172"/>
      <c r="F11" s="172"/>
      <c r="G11" s="56"/>
    </row>
    <row r="12" spans="1:10">
      <c r="C12" s="5"/>
      <c r="D12" s="5"/>
      <c r="E12" s="5"/>
      <c r="F12" s="5"/>
      <c r="G12" s="5"/>
    </row>
    <row r="13" spans="1:10" s="68" customFormat="1" ht="18.75">
      <c r="B13" s="173">
        <f>INDEX('Semi-Final'!$B$15:$B$20,MATCH(MIN('Semi-Final'!$K$15:$K$20),'Semi-Final'!$K$15:$K$20,0))</f>
        <v>4</v>
      </c>
      <c r="C13" s="173"/>
      <c r="D13" s="173"/>
      <c r="E13" s="173"/>
      <c r="F13" s="173">
        <f>INDEX('Semi-Final'!$M$15:$M$20,MATCH(MIN('Semi-Final'!$V$15:$V$20),'Semi-Final'!$V$15:$V$20,0))</f>
        <v>5</v>
      </c>
      <c r="G13" s="173"/>
      <c r="H13" s="173"/>
      <c r="I13" s="173"/>
    </row>
    <row r="14" spans="1:10" ht="18.75">
      <c r="B14" s="105"/>
      <c r="C14" s="105" t="str">
        <f>_xlfn.CONCAT("CANDIDATE NO. ",B13)</f>
        <v>CANDIDATE NO. 4</v>
      </c>
      <c r="D14" s="105"/>
      <c r="E14" s="105"/>
      <c r="F14" s="105"/>
      <c r="G14" s="105"/>
      <c r="H14" s="105" t="str">
        <f>_xlfn.CONCAT("CANDIDATE NO. ",F13)</f>
        <v>CANDIDATE NO. 5</v>
      </c>
      <c r="I14" s="105"/>
    </row>
    <row r="15" spans="1:10">
      <c r="B15" s="172" t="s">
        <v>36</v>
      </c>
      <c r="C15" s="172"/>
      <c r="D15" s="172"/>
      <c r="E15" s="172"/>
      <c r="F15" s="172" t="s">
        <v>37</v>
      </c>
      <c r="G15" s="172"/>
      <c r="H15" s="172"/>
      <c r="I15" s="172"/>
    </row>
    <row r="16" spans="1:10">
      <c r="C16" s="8"/>
      <c r="D16" s="8"/>
      <c r="E16" s="8"/>
      <c r="F16" s="8"/>
      <c r="G16" s="8"/>
      <c r="H16" s="8"/>
    </row>
    <row r="17" spans="2:9" ht="10.5" customHeight="1">
      <c r="C17" s="5"/>
      <c r="D17" s="5"/>
      <c r="E17" s="5"/>
      <c r="F17" s="5"/>
      <c r="G17" s="5"/>
    </row>
    <row r="18" spans="2:9" ht="7.5" customHeight="1">
      <c r="B18" s="58"/>
      <c r="C18" s="59"/>
      <c r="D18" s="59"/>
      <c r="E18" s="59"/>
      <c r="F18" s="59"/>
      <c r="G18" s="59"/>
      <c r="H18" s="58"/>
      <c r="I18" s="58"/>
    </row>
    <row r="19" spans="2:9">
      <c r="C19" s="5"/>
      <c r="D19" s="5"/>
      <c r="E19" s="5"/>
      <c r="F19" s="5"/>
      <c r="G19" s="5"/>
    </row>
    <row r="20" spans="2:9">
      <c r="C20" s="10"/>
      <c r="D20" s="171" t="s">
        <v>38</v>
      </c>
      <c r="E20" s="171"/>
      <c r="F20" s="171"/>
      <c r="G20" s="171"/>
    </row>
    <row r="21" spans="2:9">
      <c r="C21" s="5"/>
      <c r="D21" s="172" t="s">
        <v>22</v>
      </c>
      <c r="E21" s="172"/>
      <c r="F21" s="172"/>
      <c r="G21" s="56"/>
    </row>
    <row r="22" spans="2:9">
      <c r="C22" s="5"/>
      <c r="D22" s="5"/>
      <c r="E22" s="5"/>
      <c r="F22" s="5"/>
      <c r="G22" s="5"/>
    </row>
    <row r="23" spans="2:9" ht="18.75">
      <c r="B23" s="173" t="e">
        <f>INDEX('Semi-Final'!$B$28:$B$33,MATCH(MIN('Semi-Final'!K28:K33),'Semi-Final'!K28:K33,0))</f>
        <v>#REF!</v>
      </c>
      <c r="C23" s="173"/>
      <c r="D23" s="173"/>
      <c r="E23" s="173"/>
      <c r="F23" s="173" t="e">
        <f>INDEX('Semi-Final'!M28:M33,MATCH(MIN('Semi-Final'!V28:V33),'Semi-Final'!V28:V33,0))</f>
        <v>#REF!</v>
      </c>
      <c r="G23" s="173"/>
      <c r="H23" s="173"/>
      <c r="I23" s="173"/>
    </row>
    <row r="24" spans="2:9" ht="18.75">
      <c r="B24" s="105"/>
      <c r="C24" s="105" t="e">
        <f>_xlfn.CONCAT("CANDIDATE NO. ",B23)</f>
        <v>#REF!</v>
      </c>
      <c r="D24" s="105"/>
      <c r="E24" s="105"/>
      <c r="F24" s="105"/>
      <c r="G24" s="105"/>
      <c r="H24" s="105" t="e">
        <f>_xlfn.CONCAT("CANDIDATE NO. ",F23)</f>
        <v>#REF!</v>
      </c>
      <c r="I24" s="105"/>
    </row>
    <row r="25" spans="2:9">
      <c r="B25" s="172" t="s">
        <v>36</v>
      </c>
      <c r="C25" s="172"/>
      <c r="D25" s="172"/>
      <c r="E25" s="172"/>
      <c r="F25" s="172" t="s">
        <v>37</v>
      </c>
      <c r="G25" s="172"/>
      <c r="H25" s="172"/>
      <c r="I25" s="172"/>
    </row>
    <row r="26" spans="2:9" ht="10.5" customHeight="1">
      <c r="C26" s="5"/>
      <c r="D26" s="5"/>
      <c r="E26" s="5"/>
      <c r="F26" s="5"/>
      <c r="G26" s="5"/>
    </row>
    <row r="27" spans="2:9" ht="7.5" customHeight="1">
      <c r="B27" s="58"/>
      <c r="C27" s="59"/>
      <c r="D27" s="59"/>
      <c r="E27" s="59"/>
      <c r="F27" s="59"/>
      <c r="G27" s="59"/>
      <c r="H27" s="58"/>
      <c r="I27" s="58"/>
    </row>
    <row r="28" spans="2:9">
      <c r="C28" s="5"/>
      <c r="D28" s="5"/>
      <c r="E28" s="5"/>
      <c r="F28" s="5"/>
      <c r="G28" s="5"/>
    </row>
    <row r="29" spans="2:9">
      <c r="C29" s="10"/>
      <c r="D29" s="171" t="s">
        <v>39</v>
      </c>
      <c r="E29" s="171"/>
      <c r="F29" s="171"/>
      <c r="G29" s="171"/>
    </row>
    <row r="30" spans="2:9">
      <c r="C30" s="5"/>
      <c r="D30" s="172" t="s">
        <v>22</v>
      </c>
      <c r="E30" s="172"/>
      <c r="F30" s="172"/>
      <c r="G30" s="56"/>
    </row>
    <row r="31" spans="2:9">
      <c r="C31" s="5"/>
      <c r="D31" s="5"/>
      <c r="E31" s="5"/>
      <c r="F31" s="5"/>
      <c r="G31" s="5"/>
    </row>
    <row r="32" spans="2:9" ht="18.75">
      <c r="B32" s="173">
        <f>INDEX('Semi-Final'!$B$41:$B$46,MATCH(MIN('Semi-Final'!$K$41:$K$46),'Semi-Final'!$K$41:$K$46,0))</f>
        <v>6</v>
      </c>
      <c r="C32" s="173"/>
      <c r="D32" s="173"/>
      <c r="E32" s="173"/>
      <c r="F32" s="173">
        <f>INDEX('Semi-Final'!M41:M46,MATCH(MIN('Semi-Final'!V41:V46),'Semi-Final'!V41:V46,0))</f>
        <v>2</v>
      </c>
      <c r="G32" s="173"/>
      <c r="H32" s="173"/>
      <c r="I32" s="173"/>
    </row>
    <row r="33" spans="2:9" ht="18.75">
      <c r="B33" s="105"/>
      <c r="C33" s="105" t="str">
        <f>_xlfn.CONCAT("CANDIDATE NO. ",B32)</f>
        <v>CANDIDATE NO. 6</v>
      </c>
      <c r="D33" s="105"/>
      <c r="E33" s="105"/>
      <c r="F33" s="105"/>
      <c r="G33" s="105"/>
      <c r="H33" s="105" t="str">
        <f>_xlfn.CONCAT("CANDIDATE NO. ",F32)</f>
        <v>CANDIDATE NO. 2</v>
      </c>
      <c r="I33" s="105"/>
    </row>
    <row r="34" spans="2:9">
      <c r="B34" s="172" t="s">
        <v>36</v>
      </c>
      <c r="C34" s="172"/>
      <c r="D34" s="172"/>
      <c r="E34" s="172"/>
      <c r="F34" s="172" t="s">
        <v>37</v>
      </c>
      <c r="G34" s="172"/>
      <c r="H34" s="172"/>
      <c r="I34" s="172"/>
    </row>
    <row r="35" spans="2:9" ht="10.5" customHeight="1">
      <c r="C35" s="5"/>
      <c r="D35" s="5"/>
      <c r="E35" s="5"/>
      <c r="F35" s="5"/>
      <c r="G35" s="5"/>
    </row>
    <row r="36" spans="2:9" ht="7.5" customHeight="1">
      <c r="B36" s="58"/>
      <c r="C36" s="59"/>
      <c r="D36" s="59"/>
      <c r="E36" s="59"/>
      <c r="F36" s="59"/>
      <c r="G36" s="59"/>
      <c r="H36" s="58"/>
      <c r="I36" s="58"/>
    </row>
    <row r="37" spans="2:9">
      <c r="C37" s="5"/>
      <c r="D37" s="5"/>
      <c r="E37" s="5"/>
      <c r="F37" s="5"/>
      <c r="G37" s="5"/>
    </row>
    <row r="38" spans="2:9">
      <c r="C38" s="10"/>
      <c r="D38" s="171" t="s">
        <v>40</v>
      </c>
      <c r="E38" s="171"/>
      <c r="F38" s="171"/>
      <c r="G38" s="171"/>
    </row>
    <row r="39" spans="2:9">
      <c r="C39" s="5"/>
      <c r="D39" s="172" t="s">
        <v>22</v>
      </c>
      <c r="E39" s="172"/>
      <c r="F39" s="172"/>
      <c r="G39" s="56"/>
    </row>
    <row r="40" spans="2:9">
      <c r="C40" s="5"/>
      <c r="D40" s="5"/>
      <c r="E40" s="5"/>
      <c r="F40" s="5"/>
      <c r="G40" s="5"/>
    </row>
    <row r="41" spans="2:9">
      <c r="B41" s="179" t="e">
        <f>INDEX('Semi-Final'!$B$71:$B$76,MATCH(SMALL('Semi-Final'!$K$71:$K$76,1),'Semi-Final'!$K$71:$K$76,0))</f>
        <v>#REF!</v>
      </c>
      <c r="C41" s="179"/>
      <c r="D41" s="69"/>
      <c r="E41" s="179" t="e">
        <f>INDEX('Semi-Final'!$B$71:$B$76,MATCH(SMALL('Semi-Final'!$K$71:$K$76,2),'Semi-Final'!$K$71:$K$76,0))</f>
        <v>#REF!</v>
      </c>
      <c r="F41" s="179"/>
      <c r="G41" s="69"/>
      <c r="H41" s="179" t="e">
        <f>INDEX('Semi-Final'!$B$71:$B$76,MATCH(SMALL('Semi-Final'!$K$71:$K$76,3),'Semi-Final'!$K$71:$K$76,0))</f>
        <v>#REF!</v>
      </c>
      <c r="I41" s="179"/>
    </row>
    <row r="42" spans="2:9" ht="18.75">
      <c r="B42" s="170" t="e">
        <f>_xlfn.CONCAT("CANDIDATE NO. ",B41)</f>
        <v>#REF!</v>
      </c>
      <c r="C42" s="170" t="e">
        <f t="shared" ref="C42" si="0">_xlfn.CONCAT("CANDIDATE NO. ",B41)</f>
        <v>#REF!</v>
      </c>
      <c r="E42" s="170" t="e">
        <f>_xlfn.CONCAT("CANDIDATE NO. ",E41)</f>
        <v>#REF!</v>
      </c>
      <c r="F42" s="170" t="e">
        <f t="shared" ref="F42" si="1">_xlfn.CONCAT("CANDIDATE NO. ",E41)</f>
        <v>#REF!</v>
      </c>
      <c r="G42" s="60"/>
      <c r="H42" s="170" t="e">
        <f>_xlfn.CONCAT("CANDIDATE NO. ",H41)</f>
        <v>#REF!</v>
      </c>
      <c r="I42" s="170" t="e">
        <f t="shared" ref="I42" si="2">_xlfn.CONCAT("CANDIDATE NO. ",H41)</f>
        <v>#REF!</v>
      </c>
    </row>
    <row r="43" spans="2:9">
      <c r="B43" s="172" t="s">
        <v>36</v>
      </c>
      <c r="C43" s="172"/>
      <c r="E43" s="172" t="s">
        <v>36</v>
      </c>
      <c r="F43" s="172"/>
      <c r="G43" s="57"/>
      <c r="H43" s="172" t="s">
        <v>36</v>
      </c>
      <c r="I43" s="172"/>
    </row>
    <row r="44" spans="2:9">
      <c r="B44" s="8"/>
      <c r="C44" s="5"/>
      <c r="E44" s="8"/>
      <c r="F44" s="5"/>
      <c r="G44" s="8"/>
      <c r="H44" s="8"/>
      <c r="I44" s="5"/>
    </row>
    <row r="45" spans="2:9">
      <c r="B45" s="179" t="e">
        <f>INDEX('Semi-Final'!$M$71:$M$76,MATCH(SMALL('Semi-Final'!$V$71:$V$76,1),'Semi-Final'!$V$71:$V$76,0))</f>
        <v>#REF!</v>
      </c>
      <c r="C45" s="179"/>
      <c r="D45" s="69"/>
      <c r="E45" s="179" t="e">
        <f>INDEX('Semi-Final'!$M$71:$M$76,MATCH(SMALL('Semi-Final'!$V$71:$V$76,2),'Semi-Final'!$V$71:$V$76,0))</f>
        <v>#REF!</v>
      </c>
      <c r="F45" s="179"/>
      <c r="G45" s="69"/>
      <c r="H45" s="179" t="e">
        <f>INDEX('Semi-Final'!$M$71:$M$76,MATCH(SMALL('Semi-Final'!$V$71:$V$76,3),'Semi-Final'!$V$71:$V$76,0))</f>
        <v>#REF!</v>
      </c>
      <c r="I45" s="179"/>
    </row>
    <row r="46" spans="2:9" ht="18.75">
      <c r="B46" s="170" t="e">
        <f>_xlfn.CONCAT("CANDIDATE NO. ",B45)</f>
        <v>#REF!</v>
      </c>
      <c r="C46" s="170" t="e">
        <f t="shared" ref="C46" si="3">_xlfn.CONCAT("CANDIDATE NO. ",B45)</f>
        <v>#REF!</v>
      </c>
      <c r="E46" s="170" t="e">
        <f>_xlfn.CONCAT("CANDIDATE NO. ",E45)</f>
        <v>#REF!</v>
      </c>
      <c r="F46" s="170" t="e">
        <f t="shared" ref="F46" si="4">_xlfn.CONCAT("CANDIDATE NO. ",E45)</f>
        <v>#REF!</v>
      </c>
      <c r="G46" s="60"/>
      <c r="H46" s="170" t="e">
        <f>_xlfn.CONCAT("CANDIDATE NO. ",H45)</f>
        <v>#REF!</v>
      </c>
      <c r="I46" s="170" t="e">
        <f t="shared" ref="I46" si="5">_xlfn.CONCAT("CANDIDATE NO. ",H45)</f>
        <v>#REF!</v>
      </c>
    </row>
    <row r="47" spans="2:9">
      <c r="B47" s="172" t="s">
        <v>37</v>
      </c>
      <c r="C47" s="172"/>
      <c r="E47" s="172" t="s">
        <v>37</v>
      </c>
      <c r="F47" s="172"/>
      <c r="G47" s="57"/>
      <c r="H47" s="172" t="s">
        <v>37</v>
      </c>
      <c r="I47" s="172"/>
    </row>
    <row r="48" spans="2:9">
      <c r="C48" s="5"/>
      <c r="D48" s="8"/>
      <c r="E48" s="8"/>
      <c r="F48" s="8"/>
      <c r="G48" s="5"/>
    </row>
    <row r="52" spans="2:9">
      <c r="B52" s="176" t="s">
        <v>41</v>
      </c>
      <c r="C52" s="176"/>
      <c r="D52" s="5"/>
      <c r="E52" s="176" t="s">
        <v>42</v>
      </c>
      <c r="F52" s="176"/>
      <c r="G52" s="5"/>
      <c r="H52" s="176" t="s">
        <v>43</v>
      </c>
      <c r="I52" s="176"/>
    </row>
    <row r="53" spans="2:9">
      <c r="B53" s="175" t="s">
        <v>11</v>
      </c>
      <c r="C53" s="175"/>
      <c r="D53" s="9"/>
      <c r="E53" s="175" t="s">
        <v>44</v>
      </c>
      <c r="F53" s="175"/>
      <c r="G53" s="9"/>
      <c r="H53" s="175" t="s">
        <v>12</v>
      </c>
      <c r="I53" s="175"/>
    </row>
    <row r="54" spans="2:9">
      <c r="B54" s="5"/>
      <c r="C54" s="5"/>
      <c r="D54" s="5"/>
      <c r="E54" s="180" t="s">
        <v>10</v>
      </c>
      <c r="F54" s="180"/>
      <c r="G54" s="5"/>
      <c r="H54" s="5"/>
      <c r="I54" s="5"/>
    </row>
    <row r="55" spans="2:9">
      <c r="B55" s="5"/>
      <c r="C55" s="5"/>
      <c r="D55" s="5"/>
      <c r="E55" s="95"/>
      <c r="F55" s="95"/>
      <c r="G55" s="5"/>
      <c r="H55" s="5"/>
      <c r="I55" s="5"/>
    </row>
    <row r="56" spans="2:9">
      <c r="B56" s="5"/>
      <c r="C56" s="5"/>
      <c r="D56" s="5"/>
      <c r="E56" s="5"/>
      <c r="F56" s="5"/>
      <c r="G56" s="5"/>
      <c r="H56" s="5"/>
      <c r="I56" s="5"/>
    </row>
    <row r="57" spans="2:9">
      <c r="B57" s="5"/>
      <c r="C57" s="5"/>
      <c r="D57" s="70"/>
      <c r="E57" s="176" t="s">
        <v>45</v>
      </c>
      <c r="F57" s="176"/>
      <c r="G57" s="70"/>
      <c r="H57" s="5"/>
      <c r="I57" s="5"/>
    </row>
    <row r="58" spans="2:9">
      <c r="E58" s="175" t="s">
        <v>46</v>
      </c>
      <c r="F58" s="175"/>
    </row>
  </sheetData>
  <mergeCells count="53">
    <mergeCell ref="E57:F57"/>
    <mergeCell ref="B41:C41"/>
    <mergeCell ref="E41:F41"/>
    <mergeCell ref="H41:I41"/>
    <mergeCell ref="B45:C45"/>
    <mergeCell ref="E45:F45"/>
    <mergeCell ref="H45:I45"/>
    <mergeCell ref="E43:F43"/>
    <mergeCell ref="E47:F47"/>
    <mergeCell ref="H42:I42"/>
    <mergeCell ref="H43:I43"/>
    <mergeCell ref="H47:I47"/>
    <mergeCell ref="B42:C42"/>
    <mergeCell ref="E54:F54"/>
    <mergeCell ref="B46:C46"/>
    <mergeCell ref="E46:F46"/>
    <mergeCell ref="B15:E15"/>
    <mergeCell ref="F13:I13"/>
    <mergeCell ref="F15:I15"/>
    <mergeCell ref="B25:E25"/>
    <mergeCell ref="F25:I25"/>
    <mergeCell ref="B23:E23"/>
    <mergeCell ref="F23:I23"/>
    <mergeCell ref="D21:F21"/>
    <mergeCell ref="D20:G20"/>
    <mergeCell ref="A1:D1"/>
    <mergeCell ref="A2:J2"/>
    <mergeCell ref="A3:J3"/>
    <mergeCell ref="A4:J4"/>
    <mergeCell ref="D9:F9"/>
    <mergeCell ref="D11:F11"/>
    <mergeCell ref="A7:J7"/>
    <mergeCell ref="D10:G10"/>
    <mergeCell ref="E58:F58"/>
    <mergeCell ref="H53:I53"/>
    <mergeCell ref="B53:C53"/>
    <mergeCell ref="E53:F53"/>
    <mergeCell ref="H52:I52"/>
    <mergeCell ref="B52:C52"/>
    <mergeCell ref="E52:F52"/>
    <mergeCell ref="B43:C43"/>
    <mergeCell ref="B47:C47"/>
    <mergeCell ref="E42:F42"/>
    <mergeCell ref="D38:G38"/>
    <mergeCell ref="D39:F39"/>
    <mergeCell ref="B13:E13"/>
    <mergeCell ref="H46:I46"/>
    <mergeCell ref="D29:G29"/>
    <mergeCell ref="D30:F30"/>
    <mergeCell ref="B32:E32"/>
    <mergeCell ref="F32:I32"/>
    <mergeCell ref="B34:E34"/>
    <mergeCell ref="F34:I34"/>
  </mergeCells>
  <pageMargins left="0.25" right="0.25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FD29-EC0C-47D3-AF51-873C3A338435}">
  <sheetPr>
    <pageSetUpPr fitToPage="1"/>
  </sheetPr>
  <dimension ref="A1:J46"/>
  <sheetViews>
    <sheetView showGridLines="0" tabSelected="1" showWhiteSpace="0" topLeftCell="A25" zoomScale="145" zoomScaleNormal="145" zoomScalePageLayoutView="87" workbookViewId="0">
      <selection activeCell="I50" sqref="A1:J50"/>
    </sheetView>
  </sheetViews>
  <sheetFormatPr defaultRowHeight="15"/>
  <cols>
    <col min="1" max="1" width="7.5703125" customWidth="1"/>
    <col min="2" max="3" width="17.85546875" customWidth="1"/>
    <col min="4" max="4" width="2.28515625" customWidth="1"/>
    <col min="5" max="6" width="17.85546875" customWidth="1"/>
    <col min="7" max="7" width="2.28515625" customWidth="1"/>
    <col min="8" max="9" width="17.85546875" customWidth="1"/>
    <col min="10" max="10" width="8.5703125" customWidth="1"/>
    <col min="12" max="12" width="12.42578125" customWidth="1"/>
  </cols>
  <sheetData>
    <row r="1" spans="1:10">
      <c r="A1" s="182"/>
      <c r="B1" s="182"/>
      <c r="C1" s="182"/>
      <c r="D1" s="182"/>
      <c r="E1" s="85"/>
      <c r="F1" s="85"/>
      <c r="G1" s="85"/>
      <c r="H1" s="85"/>
      <c r="I1" s="85"/>
      <c r="J1" s="85"/>
    </row>
    <row r="2" spans="1:10" ht="20.25">
      <c r="A2" s="183" t="str">
        <f>Dashboard!A2</f>
        <v>Mister &amp; Miss BISU TROPIKO 2024</v>
      </c>
      <c r="B2" s="183"/>
      <c r="C2" s="183"/>
      <c r="D2" s="183"/>
      <c r="E2" s="183"/>
      <c r="F2" s="183"/>
      <c r="G2" s="183"/>
      <c r="H2" s="183"/>
      <c r="I2" s="183"/>
      <c r="J2" s="183"/>
    </row>
    <row r="3" spans="1:10" ht="15.75">
      <c r="A3" s="184" t="str">
        <f>Dashboard!A3</f>
        <v>HIMAMAT 2024</v>
      </c>
      <c r="B3" s="184"/>
      <c r="C3" s="184"/>
      <c r="D3" s="184"/>
      <c r="E3" s="184"/>
      <c r="F3" s="184"/>
      <c r="G3" s="184"/>
      <c r="H3" s="184"/>
      <c r="I3" s="184"/>
      <c r="J3" s="184"/>
    </row>
    <row r="4" spans="1:10">
      <c r="A4" s="185" t="str">
        <f>Dashboard!A4</f>
        <v>September 6, 2023 | BISU Balilihan Multi-Purpose Covered Court</v>
      </c>
      <c r="B4" s="185"/>
      <c r="C4" s="185"/>
      <c r="D4" s="185"/>
      <c r="E4" s="185"/>
      <c r="F4" s="185"/>
      <c r="G4" s="185"/>
      <c r="H4" s="185"/>
      <c r="I4" s="185"/>
      <c r="J4" s="185"/>
    </row>
    <row r="5" spans="1:10">
      <c r="A5" s="109"/>
      <c r="B5" s="109"/>
      <c r="C5" s="109"/>
      <c r="D5" s="109"/>
      <c r="E5" s="109"/>
      <c r="F5" s="109"/>
      <c r="G5" s="109"/>
      <c r="H5" s="109"/>
      <c r="I5" s="109"/>
      <c r="J5" s="109"/>
    </row>
    <row r="6" spans="1:10">
      <c r="A6" s="85"/>
      <c r="B6" s="85"/>
      <c r="C6" s="85"/>
      <c r="D6" s="85"/>
      <c r="E6" s="85"/>
      <c r="F6" s="85"/>
      <c r="G6" s="85"/>
      <c r="H6" s="85"/>
      <c r="I6" s="85"/>
      <c r="J6" s="85"/>
    </row>
    <row r="7" spans="1:10" ht="28.5" customHeight="1" thickBot="1">
      <c r="A7" s="186" t="s">
        <v>47</v>
      </c>
      <c r="B7" s="186"/>
      <c r="C7" s="186"/>
      <c r="D7" s="186"/>
      <c r="E7" s="186"/>
      <c r="F7" s="186"/>
      <c r="G7" s="186"/>
      <c r="H7" s="186"/>
      <c r="I7" s="186"/>
      <c r="J7" s="186"/>
    </row>
    <row r="8" spans="1:10" ht="28.5" customHeight="1">
      <c r="A8" s="85"/>
      <c r="B8" s="86"/>
      <c r="C8" s="86"/>
      <c r="D8" s="86"/>
      <c r="E8" s="86"/>
      <c r="F8" s="87"/>
      <c r="G8" s="86"/>
      <c r="H8" s="86"/>
      <c r="I8" s="85"/>
      <c r="J8" s="85"/>
    </row>
    <row r="9" spans="1:10">
      <c r="A9" s="85"/>
      <c r="B9" s="85"/>
      <c r="C9" s="85"/>
      <c r="D9" s="181"/>
      <c r="E9" s="181"/>
      <c r="F9" s="181"/>
      <c r="G9" s="85"/>
      <c r="H9" s="85"/>
      <c r="I9" s="85"/>
      <c r="J9" s="85"/>
    </row>
    <row r="10" spans="1:10">
      <c r="A10" s="85"/>
      <c r="B10" s="85"/>
      <c r="C10" s="188" t="s">
        <v>48</v>
      </c>
      <c r="D10" s="188"/>
      <c r="E10" s="188"/>
      <c r="F10" s="188"/>
      <c r="G10" s="188"/>
      <c r="H10" s="188"/>
      <c r="I10" s="85"/>
      <c r="J10" s="85"/>
    </row>
    <row r="11" spans="1:10" s="55" customFormat="1" ht="13.5" customHeight="1">
      <c r="A11" s="88"/>
      <c r="B11" s="88"/>
      <c r="C11" s="89"/>
      <c r="D11" s="187" t="s">
        <v>22</v>
      </c>
      <c r="E11" s="187"/>
      <c r="F11" s="187"/>
      <c r="G11" s="89"/>
      <c r="H11" s="88"/>
      <c r="I11" s="88"/>
      <c r="J11" s="88"/>
    </row>
    <row r="12" spans="1:10">
      <c r="A12" s="85"/>
      <c r="B12" s="85"/>
      <c r="C12" s="90"/>
      <c r="D12" s="90"/>
      <c r="E12" s="90"/>
      <c r="F12" s="90"/>
      <c r="G12" s="90"/>
      <c r="H12" s="85"/>
      <c r="I12" s="85"/>
      <c r="J12" s="85"/>
    </row>
    <row r="13" spans="1:10" s="68" customFormat="1" ht="18.75">
      <c r="A13" s="91"/>
      <c r="B13" s="190" t="e">
        <f>INDEX(Final!B18:B20,MATCH(SMALL(Final!K18:K20,3),Final!K18:K20,0))</f>
        <v>#REF!</v>
      </c>
      <c r="C13" s="190"/>
      <c r="D13" s="190"/>
      <c r="E13" s="190"/>
      <c r="F13" s="190" t="e">
        <f>INDEX(Final!M18:M20,MATCH(SMALL(Final!V18:V20,3),Final!V18:V20,0))</f>
        <v>#REF!</v>
      </c>
      <c r="G13" s="190"/>
      <c r="H13" s="190"/>
      <c r="I13" s="190"/>
      <c r="J13" s="91"/>
    </row>
    <row r="14" spans="1:10" ht="18.75">
      <c r="A14" s="85"/>
      <c r="B14" s="108"/>
      <c r="C14" s="108" t="e">
        <f>_xlfn.CONCAT("CANDIDATE NO. ",B13)</f>
        <v>#REF!</v>
      </c>
      <c r="D14" s="108"/>
      <c r="E14" s="108"/>
      <c r="F14" s="108"/>
      <c r="G14" s="108"/>
      <c r="H14" s="108" t="e">
        <f>_xlfn.CONCAT("CANDIDATE NO. ",F13)</f>
        <v>#REF!</v>
      </c>
      <c r="I14" s="108"/>
      <c r="J14" s="85"/>
    </row>
    <row r="15" spans="1:10">
      <c r="A15" s="85"/>
      <c r="B15" s="187" t="s">
        <v>36</v>
      </c>
      <c r="C15" s="187"/>
      <c r="D15" s="187"/>
      <c r="E15" s="187"/>
      <c r="F15" s="187" t="s">
        <v>37</v>
      </c>
      <c r="G15" s="187"/>
      <c r="H15" s="187"/>
      <c r="I15" s="187"/>
      <c r="J15" s="85"/>
    </row>
    <row r="16" spans="1:10">
      <c r="A16" s="85"/>
      <c r="B16" s="85"/>
      <c r="C16" s="92"/>
      <c r="D16" s="92"/>
      <c r="E16" s="92"/>
      <c r="F16" s="92"/>
      <c r="G16" s="92"/>
      <c r="H16" s="92"/>
      <c r="I16" s="85"/>
      <c r="J16" s="85"/>
    </row>
    <row r="17" spans="1:10" ht="10.5" customHeight="1">
      <c r="A17" s="85"/>
      <c r="B17" s="85"/>
      <c r="C17" s="90"/>
      <c r="D17" s="90"/>
      <c r="E17" s="90"/>
      <c r="F17" s="90"/>
      <c r="G17" s="90"/>
      <c r="H17" s="85"/>
      <c r="I17" s="85"/>
      <c r="J17" s="85"/>
    </row>
    <row r="18" spans="1:10" ht="7.5" customHeight="1">
      <c r="A18" s="85"/>
      <c r="B18" s="93"/>
      <c r="C18" s="94"/>
      <c r="D18" s="94"/>
      <c r="E18" s="94"/>
      <c r="F18" s="94"/>
      <c r="G18" s="94"/>
      <c r="H18" s="93"/>
      <c r="I18" s="93"/>
      <c r="J18" s="85"/>
    </row>
    <row r="19" spans="1:10">
      <c r="A19" s="85"/>
      <c r="B19" s="85"/>
      <c r="C19" s="90"/>
      <c r="D19" s="90"/>
      <c r="E19" s="90"/>
      <c r="F19" s="90"/>
      <c r="G19" s="90"/>
      <c r="H19" s="85"/>
      <c r="I19" s="85"/>
      <c r="J19" s="85"/>
    </row>
    <row r="20" spans="1:10">
      <c r="A20" s="85"/>
      <c r="B20" s="85"/>
      <c r="C20" s="188" t="s">
        <v>49</v>
      </c>
      <c r="D20" s="188"/>
      <c r="E20" s="188"/>
      <c r="F20" s="188"/>
      <c r="G20" s="188"/>
      <c r="H20" s="188"/>
      <c r="I20" s="85"/>
      <c r="J20" s="85"/>
    </row>
    <row r="21" spans="1:10">
      <c r="A21" s="85"/>
      <c r="B21" s="85"/>
      <c r="C21" s="90"/>
      <c r="D21" s="187" t="s">
        <v>22</v>
      </c>
      <c r="E21" s="187"/>
      <c r="F21" s="187"/>
      <c r="G21" s="89"/>
      <c r="H21" s="85"/>
      <c r="I21" s="85"/>
      <c r="J21" s="85"/>
    </row>
    <row r="22" spans="1:10">
      <c r="A22" s="85"/>
      <c r="B22" s="85"/>
      <c r="C22" s="90"/>
      <c r="D22" s="90"/>
      <c r="E22" s="90"/>
      <c r="F22" s="90"/>
      <c r="G22" s="90"/>
      <c r="H22" s="85"/>
      <c r="I22" s="85"/>
      <c r="J22" s="85"/>
    </row>
    <row r="23" spans="1:10" ht="18.75">
      <c r="A23" s="85"/>
      <c r="B23" s="190" t="e">
        <f>INDEX(Final!B18:B20,MATCH(SMALL(Final!K18:K20,2),Final!K18:K20,0))</f>
        <v>#REF!</v>
      </c>
      <c r="C23" s="190"/>
      <c r="D23" s="190"/>
      <c r="E23" s="190"/>
      <c r="F23" s="190" t="e">
        <f>INDEX(Final!M18:M20,MATCH(SMALL(Final!V18:V20,2),Final!V18:V20,0))</f>
        <v>#REF!</v>
      </c>
      <c r="G23" s="190"/>
      <c r="H23" s="190"/>
      <c r="I23" s="190"/>
      <c r="J23" s="85"/>
    </row>
    <row r="24" spans="1:10" ht="18.75">
      <c r="A24" s="85"/>
      <c r="B24" s="108"/>
      <c r="C24" s="108" t="e">
        <f>_xlfn.CONCAT("CANDIDATE NO. ",B23)</f>
        <v>#REF!</v>
      </c>
      <c r="D24" s="108"/>
      <c r="E24" s="108"/>
      <c r="F24" s="108"/>
      <c r="G24" s="108"/>
      <c r="H24" s="108" t="e">
        <f>_xlfn.CONCAT("CANDIDATE NO. ",F23)</f>
        <v>#REF!</v>
      </c>
      <c r="I24" s="108"/>
      <c r="J24" s="85"/>
    </row>
    <row r="25" spans="1:10">
      <c r="A25" s="85"/>
      <c r="B25" s="187" t="s">
        <v>36</v>
      </c>
      <c r="C25" s="187"/>
      <c r="D25" s="187"/>
      <c r="E25" s="187"/>
      <c r="F25" s="187" t="s">
        <v>37</v>
      </c>
      <c r="G25" s="187"/>
      <c r="H25" s="187"/>
      <c r="I25" s="187"/>
      <c r="J25" s="85"/>
    </row>
    <row r="26" spans="1:10" ht="10.5" customHeight="1">
      <c r="A26" s="85"/>
      <c r="B26" s="85"/>
      <c r="C26" s="90"/>
      <c r="D26" s="90"/>
      <c r="E26" s="90"/>
      <c r="F26" s="90"/>
      <c r="G26" s="90"/>
      <c r="H26" s="85"/>
      <c r="I26" s="85"/>
      <c r="J26" s="85"/>
    </row>
    <row r="27" spans="1:10" ht="7.5" customHeight="1">
      <c r="A27" s="85"/>
      <c r="B27" s="93"/>
      <c r="C27" s="94"/>
      <c r="D27" s="94"/>
      <c r="E27" s="94"/>
      <c r="F27" s="94"/>
      <c r="G27" s="94"/>
      <c r="H27" s="93"/>
      <c r="I27" s="93"/>
      <c r="J27" s="85"/>
    </row>
    <row r="28" spans="1:10">
      <c r="A28" s="85"/>
      <c r="B28" s="85"/>
      <c r="C28" s="90"/>
      <c r="D28" s="90"/>
      <c r="E28" s="90"/>
      <c r="F28" s="90"/>
      <c r="G28" s="90"/>
      <c r="H28" s="85"/>
      <c r="I28" s="85"/>
      <c r="J28" s="85"/>
    </row>
    <row r="29" spans="1:10" ht="18.75">
      <c r="A29" s="85"/>
      <c r="B29" s="85"/>
      <c r="C29" s="189" t="s">
        <v>50</v>
      </c>
      <c r="D29" s="189"/>
      <c r="E29" s="189"/>
      <c r="F29" s="189"/>
      <c r="G29" s="189"/>
      <c r="H29" s="189"/>
      <c r="I29" s="85"/>
      <c r="J29" s="85"/>
    </row>
    <row r="30" spans="1:10">
      <c r="A30" s="85"/>
      <c r="B30" s="85"/>
      <c r="C30" s="90"/>
      <c r="D30" s="187" t="s">
        <v>22</v>
      </c>
      <c r="E30" s="187"/>
      <c r="F30" s="187"/>
      <c r="G30" s="89"/>
      <c r="H30" s="85"/>
      <c r="I30" s="85"/>
      <c r="J30" s="85"/>
    </row>
    <row r="31" spans="1:10">
      <c r="A31" s="85"/>
      <c r="B31" s="85"/>
      <c r="C31" s="90"/>
      <c r="D31" s="90"/>
      <c r="E31" s="90"/>
      <c r="F31" s="90"/>
      <c r="G31" s="90"/>
      <c r="H31" s="85"/>
      <c r="I31" s="85"/>
      <c r="J31" s="85"/>
    </row>
    <row r="32" spans="1:10" ht="18.75">
      <c r="A32" s="85"/>
      <c r="B32" s="190" t="e">
        <f>INDEX(Final!B18:B20,MATCH(SMALL(Final!K18:K20,1),Final!K18:K20,0))</f>
        <v>#REF!</v>
      </c>
      <c r="C32" s="190"/>
      <c r="D32" s="190"/>
      <c r="E32" s="190"/>
      <c r="F32" s="190" t="e">
        <f>INDEX(Final!M18:M20,MATCH(SMALL(Final!V18:V20,1),Final!V18:V20,0))</f>
        <v>#REF!</v>
      </c>
      <c r="G32" s="190"/>
      <c r="H32" s="190"/>
      <c r="I32" s="190"/>
      <c r="J32" s="85"/>
    </row>
    <row r="33" spans="1:10" ht="18.75">
      <c r="A33" s="85"/>
      <c r="B33" s="108"/>
      <c r="C33" s="108" t="e">
        <f>_xlfn.CONCAT("CANDIDATE NO. ",B32)</f>
        <v>#REF!</v>
      </c>
      <c r="D33" s="108"/>
      <c r="E33" s="108"/>
      <c r="F33" s="108"/>
      <c r="G33" s="108"/>
      <c r="H33" s="108" t="e">
        <f>_xlfn.CONCAT("CANDIDATE NO. ",F32)</f>
        <v>#REF!</v>
      </c>
      <c r="I33" s="108"/>
      <c r="J33" s="85"/>
    </row>
    <row r="34" spans="1:10">
      <c r="A34" s="85"/>
      <c r="B34" s="187" t="s">
        <v>36</v>
      </c>
      <c r="C34" s="187"/>
      <c r="D34" s="187"/>
      <c r="E34" s="187"/>
      <c r="F34" s="187" t="s">
        <v>37</v>
      </c>
      <c r="G34" s="187"/>
      <c r="H34" s="187"/>
      <c r="I34" s="187"/>
      <c r="J34" s="85"/>
    </row>
    <row r="35" spans="1:10" ht="10.5" customHeight="1">
      <c r="A35" s="85"/>
      <c r="B35" s="85"/>
      <c r="C35" s="90"/>
      <c r="D35" s="90"/>
      <c r="E35" s="90"/>
      <c r="F35" s="90"/>
      <c r="G35" s="90"/>
      <c r="H35" s="85"/>
      <c r="I35" s="85"/>
      <c r="J35" s="85"/>
    </row>
    <row r="36" spans="1:10" ht="7.5" customHeight="1">
      <c r="A36" s="85"/>
      <c r="B36" s="93"/>
      <c r="C36" s="94"/>
      <c r="D36" s="94"/>
      <c r="E36" s="94"/>
      <c r="F36" s="94"/>
      <c r="G36" s="94"/>
      <c r="H36" s="93"/>
      <c r="I36" s="93"/>
      <c r="J36" s="85"/>
    </row>
    <row r="37" spans="1:10" ht="58.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</row>
    <row r="38" spans="1:10">
      <c r="A38" s="85"/>
      <c r="B38" s="85"/>
      <c r="C38" s="85"/>
      <c r="D38" s="85"/>
      <c r="E38" s="85"/>
      <c r="F38" s="85"/>
      <c r="G38" s="85"/>
      <c r="H38" s="85"/>
      <c r="I38" s="85"/>
      <c r="J38" s="85"/>
    </row>
    <row r="39" spans="1:10">
      <c r="A39" s="85"/>
      <c r="B39" s="85"/>
      <c r="C39" s="85"/>
      <c r="D39" s="85"/>
      <c r="E39" s="85"/>
      <c r="F39" s="85"/>
      <c r="G39" s="85"/>
      <c r="H39" s="85"/>
      <c r="I39" s="85"/>
      <c r="J39" s="85"/>
    </row>
    <row r="40" spans="1:10">
      <c r="B40" s="176" t="s">
        <v>41</v>
      </c>
      <c r="C40" s="176"/>
      <c r="D40" s="5"/>
      <c r="E40" s="176" t="s">
        <v>42</v>
      </c>
      <c r="F40" s="176" t="s">
        <v>51</v>
      </c>
      <c r="G40" s="5"/>
      <c r="H40" s="176" t="s">
        <v>43</v>
      </c>
      <c r="I40" s="176" t="s">
        <v>52</v>
      </c>
    </row>
    <row r="41" spans="1:10">
      <c r="B41" s="175" t="s">
        <v>11</v>
      </c>
      <c r="C41" s="175"/>
      <c r="D41" s="9"/>
      <c r="E41" s="175" t="s">
        <v>44</v>
      </c>
      <c r="F41" s="175"/>
      <c r="G41" s="9"/>
      <c r="H41" s="175" t="s">
        <v>12</v>
      </c>
      <c r="I41" s="175"/>
    </row>
    <row r="42" spans="1:10">
      <c r="B42" s="5"/>
      <c r="C42" s="5"/>
      <c r="D42" s="5"/>
      <c r="E42" s="180" t="s">
        <v>10</v>
      </c>
      <c r="F42" s="180"/>
      <c r="G42" s="5"/>
      <c r="H42" s="5"/>
      <c r="I42" s="5"/>
    </row>
    <row r="43" spans="1:10">
      <c r="B43" s="5"/>
      <c r="C43" s="5"/>
      <c r="D43" s="5"/>
      <c r="E43" s="106"/>
      <c r="F43" s="106"/>
      <c r="G43" s="5"/>
      <c r="H43" s="5"/>
      <c r="I43" s="5"/>
    </row>
    <row r="44" spans="1:10">
      <c r="B44" s="5"/>
      <c r="C44" s="5"/>
      <c r="D44" s="5"/>
      <c r="E44" s="5"/>
      <c r="F44" s="5"/>
      <c r="G44" s="5"/>
      <c r="H44" s="5"/>
      <c r="I44" s="5"/>
    </row>
    <row r="45" spans="1:10">
      <c r="B45" s="5"/>
      <c r="C45" s="5"/>
      <c r="D45" s="70"/>
      <c r="E45" s="176" t="s">
        <v>45</v>
      </c>
      <c r="F45" s="176"/>
      <c r="G45" s="70"/>
      <c r="H45" s="5"/>
      <c r="I45" s="5"/>
    </row>
    <row r="46" spans="1:10">
      <c r="E46" s="175" t="s">
        <v>46</v>
      </c>
      <c r="F46" s="175"/>
    </row>
  </sheetData>
  <sheetProtection formatCells="0" selectLockedCells="1" selectUnlockedCells="1"/>
  <mergeCells count="33">
    <mergeCell ref="C10:H10"/>
    <mergeCell ref="C20:H20"/>
    <mergeCell ref="C29:H29"/>
    <mergeCell ref="D30:F30"/>
    <mergeCell ref="B32:E32"/>
    <mergeCell ref="F32:I32"/>
    <mergeCell ref="F23:I23"/>
    <mergeCell ref="D11:F11"/>
    <mergeCell ref="B13:E13"/>
    <mergeCell ref="F13:I13"/>
    <mergeCell ref="B15:E15"/>
    <mergeCell ref="F15:I15"/>
    <mergeCell ref="D21:F21"/>
    <mergeCell ref="B23:E23"/>
    <mergeCell ref="H41:I41"/>
    <mergeCell ref="F25:I25"/>
    <mergeCell ref="E45:F45"/>
    <mergeCell ref="E46:F46"/>
    <mergeCell ref="B34:E34"/>
    <mergeCell ref="F34:I34"/>
    <mergeCell ref="B40:C40"/>
    <mergeCell ref="E40:F40"/>
    <mergeCell ref="H40:I40"/>
    <mergeCell ref="B41:C41"/>
    <mergeCell ref="B25:E25"/>
    <mergeCell ref="E41:F41"/>
    <mergeCell ref="E42:F42"/>
    <mergeCell ref="D9:F9"/>
    <mergeCell ref="A1:D1"/>
    <mergeCell ref="A2:J2"/>
    <mergeCell ref="A3:J3"/>
    <mergeCell ref="A4:J4"/>
    <mergeCell ref="A7:J7"/>
  </mergeCells>
  <pageMargins left="0.42" right="0.41" top="0.67" bottom="0.48" header="0.3" footer="0.3"/>
  <pageSetup scale="77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974931C8ED8418D1B3CE5C0814C94" ma:contentTypeVersion="4" ma:contentTypeDescription="Create a new document." ma:contentTypeScope="" ma:versionID="882ba1be87e04dfae601aa0662d1f68b">
  <xsd:schema xmlns:xsd="http://www.w3.org/2001/XMLSchema" xmlns:xs="http://www.w3.org/2001/XMLSchema" xmlns:p="http://schemas.microsoft.com/office/2006/metadata/properties" xmlns:ns3="adddf877-9d0a-440f-a353-f3a94f81b247" targetNamespace="http://schemas.microsoft.com/office/2006/metadata/properties" ma:root="true" ma:fieldsID="2cb5dd4325765ce5f5de567c802daeb4" ns3:_="">
    <xsd:import namespace="adddf877-9d0a-440f-a353-f3a94f81b2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df877-9d0a-440f-a353-f3a94f81b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8975AB-FFF5-4CE9-94B4-1F9660DC1D30}"/>
</file>

<file path=customXml/itemProps2.xml><?xml version="1.0" encoding="utf-8"?>
<ds:datastoreItem xmlns:ds="http://schemas.openxmlformats.org/officeDocument/2006/customXml" ds:itemID="{E07C1279-EE66-4806-95BD-73C760A2CB44}"/>
</file>

<file path=customXml/itemProps3.xml><?xml version="1.0" encoding="utf-8"?>
<ds:datastoreItem xmlns:ds="http://schemas.openxmlformats.org/officeDocument/2006/customXml" ds:itemID="{E0182A04-EF60-455F-B5FC-B1BE97216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sheila;fermo26@live.com;FERMO JR. B. ASUFRA</dc:creator>
  <cp:keywords/>
  <dc:description/>
  <cp:lastModifiedBy/>
  <cp:revision/>
  <dcterms:created xsi:type="dcterms:W3CDTF">2019-08-25T01:57:33Z</dcterms:created>
  <dcterms:modified xsi:type="dcterms:W3CDTF">2025-04-12T00:32:36Z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0x010100B1D974931C8ED8418D1B3CE5C0814C94</vt:lpwstr>
  </property>
</Properties>
</file>